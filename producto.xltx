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/>
  <workbookPr/>
  <mc:AlternateContent xmlns:mc="http://schemas.openxmlformats.org/markup-compatibility/2006">
    <mc:Choice Requires="x15">
      <x15ac:absPath xmlns:x15ac="http://schemas.microsoft.com/office/spreadsheetml/2010/11/ac" url="/Users/jcastilloaraujo/Desktop/"/>
    </mc:Choice>
  </mc:AlternateContent>
  <xr:revisionPtr revIDLastSave="0" documentId="13_ncr:1_{6BD292CE-203C-C049-B42E-477CE46A8CD8}" xr6:coauthVersionLast="47" xr6:coauthVersionMax="47" xr10:uidLastSave="{00000000-0000-0000-0000-000000000000}"/>
  <bookViews>
    <workbookView xWindow="2440" yWindow="760" windowWidth="23800" windowHeight="14280" firstSheet="2" activeTab="2" xr2:uid="{00000000-000D-0000-FFFF-FFFF00000000}"/>
  </bookViews>
  <sheets>
    <sheet name="Sheet2" sheetId="7" r:id="rId1"/>
    <sheet name="MM Lluvia" sheetId="6" r:id="rId2"/>
    <sheet name="producción" sheetId="3" r:id="rId3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" i="6" l="1"/>
  <c r="U2" i="6"/>
  <c r="U491" i="6"/>
  <c r="U492" i="6"/>
  <c r="U493" i="6"/>
  <c r="U494" i="6"/>
  <c r="U495" i="6"/>
  <c r="U496" i="6"/>
  <c r="U497" i="6"/>
  <c r="U498" i="6"/>
  <c r="U499" i="6"/>
  <c r="U500" i="6"/>
  <c r="U501" i="6"/>
  <c r="U502" i="6"/>
  <c r="U503" i="6"/>
  <c r="U504" i="6"/>
  <c r="U505" i="6"/>
  <c r="U506" i="6"/>
  <c r="U507" i="6"/>
  <c r="U508" i="6"/>
  <c r="U509" i="6"/>
  <c r="U510" i="6"/>
  <c r="U511" i="6"/>
  <c r="U512" i="6"/>
  <c r="U513" i="6"/>
  <c r="U514" i="6"/>
  <c r="U515" i="6"/>
  <c r="U516" i="6"/>
  <c r="U517" i="6"/>
  <c r="U518" i="6"/>
  <c r="U519" i="6"/>
  <c r="U520" i="6"/>
  <c r="U521" i="6"/>
  <c r="U522" i="6"/>
  <c r="U523" i="6"/>
  <c r="U524" i="6"/>
  <c r="U525" i="6"/>
  <c r="U526" i="6"/>
  <c r="U527" i="6"/>
  <c r="U528" i="6"/>
  <c r="U529" i="6"/>
  <c r="U530" i="6"/>
  <c r="U531" i="6"/>
  <c r="U532" i="6"/>
  <c r="U533" i="6"/>
  <c r="U534" i="6"/>
  <c r="U535" i="6"/>
  <c r="U536" i="6"/>
  <c r="U537" i="6"/>
  <c r="U538" i="6"/>
  <c r="U539" i="6"/>
  <c r="U540" i="6"/>
  <c r="U541" i="6"/>
  <c r="U542" i="6"/>
  <c r="U543" i="6"/>
  <c r="U544" i="6"/>
  <c r="U545" i="6"/>
  <c r="U546" i="6"/>
  <c r="U547" i="6"/>
  <c r="U548" i="6"/>
  <c r="U549" i="6"/>
  <c r="U550" i="6"/>
  <c r="U551" i="6"/>
  <c r="U552" i="6"/>
  <c r="U553" i="6"/>
  <c r="U554" i="6"/>
  <c r="U555" i="6"/>
  <c r="U556" i="6"/>
  <c r="U557" i="6"/>
  <c r="U558" i="6"/>
  <c r="U559" i="6"/>
  <c r="U560" i="6"/>
  <c r="U561" i="6"/>
  <c r="U562" i="6"/>
  <c r="U563" i="6"/>
  <c r="U564" i="6"/>
  <c r="U565" i="6"/>
  <c r="U566" i="6"/>
  <c r="U567" i="6"/>
  <c r="U568" i="6"/>
  <c r="U569" i="6"/>
  <c r="U570" i="6"/>
  <c r="U571" i="6"/>
  <c r="U572" i="6"/>
  <c r="U573" i="6"/>
  <c r="U574" i="6"/>
  <c r="U575" i="6"/>
  <c r="U576" i="6"/>
  <c r="U577" i="6"/>
  <c r="U366" i="6"/>
  <c r="V366" i="6" s="1"/>
  <c r="U367" i="6"/>
  <c r="V367" i="6" s="1"/>
  <c r="U368" i="6"/>
  <c r="V368" i="6" s="1"/>
  <c r="U369" i="6"/>
  <c r="V369" i="6" s="1"/>
  <c r="U370" i="6"/>
  <c r="V370" i="6" s="1"/>
  <c r="U371" i="6"/>
  <c r="V371" i="6" s="1"/>
  <c r="U372" i="6"/>
  <c r="V372" i="6" s="1"/>
  <c r="U373" i="6"/>
  <c r="V373" i="6" s="1"/>
  <c r="U374" i="6"/>
  <c r="V374" i="6" s="1"/>
  <c r="U375" i="6"/>
  <c r="V375" i="6" s="1"/>
  <c r="U376" i="6"/>
  <c r="V376" i="6" s="1"/>
  <c r="U377" i="6"/>
  <c r="V377" i="6" s="1"/>
  <c r="U378" i="6"/>
  <c r="V378" i="6" s="1"/>
  <c r="U379" i="6"/>
  <c r="V379" i="6" s="1"/>
  <c r="U380" i="6"/>
  <c r="V380" i="6" s="1"/>
  <c r="U381" i="6"/>
  <c r="V381" i="6" s="1"/>
  <c r="U382" i="6"/>
  <c r="V382" i="6" s="1"/>
  <c r="U383" i="6"/>
  <c r="V383" i="6" s="1"/>
  <c r="U384" i="6"/>
  <c r="V384" i="6" s="1"/>
  <c r="U385" i="6"/>
  <c r="V385" i="6" s="1"/>
  <c r="U386" i="6"/>
  <c r="V386" i="6" s="1"/>
  <c r="U387" i="6"/>
  <c r="V387" i="6" s="1"/>
  <c r="U388" i="6"/>
  <c r="V388" i="6" s="1"/>
  <c r="U389" i="6"/>
  <c r="V389" i="6" s="1"/>
  <c r="U390" i="6"/>
  <c r="V390" i="6" s="1"/>
  <c r="U391" i="6"/>
  <c r="V391" i="6" s="1"/>
  <c r="U392" i="6"/>
  <c r="V392" i="6" s="1"/>
  <c r="U393" i="6"/>
  <c r="V393" i="6" s="1"/>
  <c r="U394" i="6"/>
  <c r="V394" i="6" s="1"/>
  <c r="U395" i="6"/>
  <c r="V395" i="6" s="1"/>
  <c r="U396" i="6"/>
  <c r="V396" i="6" s="1"/>
  <c r="U397" i="6"/>
  <c r="V397" i="6" s="1"/>
  <c r="U398" i="6"/>
  <c r="V398" i="6" s="1"/>
  <c r="U399" i="6"/>
  <c r="V399" i="6" s="1"/>
  <c r="U400" i="6"/>
  <c r="V400" i="6" s="1"/>
  <c r="U401" i="6"/>
  <c r="V401" i="6" s="1"/>
  <c r="U402" i="6"/>
  <c r="V402" i="6" s="1"/>
  <c r="U403" i="6"/>
  <c r="V403" i="6" s="1"/>
  <c r="U404" i="6"/>
  <c r="V404" i="6" s="1"/>
  <c r="U405" i="6"/>
  <c r="V405" i="6" s="1"/>
  <c r="U406" i="6"/>
  <c r="V406" i="6" s="1"/>
  <c r="U407" i="6"/>
  <c r="V407" i="6" s="1"/>
  <c r="U408" i="6"/>
  <c r="V408" i="6" s="1"/>
  <c r="U409" i="6"/>
  <c r="V409" i="6" s="1"/>
  <c r="U410" i="6"/>
  <c r="V410" i="6" s="1"/>
  <c r="U411" i="6"/>
  <c r="V411" i="6" s="1"/>
  <c r="U412" i="6"/>
  <c r="V412" i="6" s="1"/>
  <c r="U413" i="6"/>
  <c r="V413" i="6" s="1"/>
  <c r="U414" i="6"/>
  <c r="V414" i="6" s="1"/>
  <c r="U415" i="6"/>
  <c r="V415" i="6" s="1"/>
  <c r="U416" i="6"/>
  <c r="V416" i="6" s="1"/>
  <c r="U417" i="6"/>
  <c r="V417" i="6" s="1"/>
  <c r="U418" i="6"/>
  <c r="V418" i="6" s="1"/>
  <c r="U419" i="6"/>
  <c r="V419" i="6" s="1"/>
  <c r="U420" i="6"/>
  <c r="V420" i="6" s="1"/>
  <c r="U421" i="6"/>
  <c r="V421" i="6" s="1"/>
  <c r="U422" i="6"/>
  <c r="V422" i="6" s="1"/>
  <c r="U423" i="6"/>
  <c r="V423" i="6" s="1"/>
  <c r="U424" i="6"/>
  <c r="V424" i="6" s="1"/>
  <c r="U425" i="6"/>
  <c r="V425" i="6" s="1"/>
  <c r="U426" i="6"/>
  <c r="V426" i="6" s="1"/>
  <c r="U427" i="6"/>
  <c r="V427" i="6" s="1"/>
  <c r="U428" i="6"/>
  <c r="V428" i="6" s="1"/>
  <c r="U429" i="6"/>
  <c r="V429" i="6" s="1"/>
  <c r="U430" i="6"/>
  <c r="V430" i="6" s="1"/>
  <c r="U431" i="6"/>
  <c r="V431" i="6" s="1"/>
  <c r="U432" i="6"/>
  <c r="V432" i="6" s="1"/>
  <c r="U433" i="6"/>
  <c r="V433" i="6" s="1"/>
  <c r="U434" i="6"/>
  <c r="V434" i="6" s="1"/>
  <c r="U435" i="6"/>
  <c r="V435" i="6" s="1"/>
  <c r="U436" i="6"/>
  <c r="V436" i="6" s="1"/>
  <c r="U437" i="6"/>
  <c r="V437" i="6" s="1"/>
  <c r="U438" i="6"/>
  <c r="V438" i="6" s="1"/>
  <c r="U439" i="6"/>
  <c r="V439" i="6" s="1"/>
  <c r="U440" i="6"/>
  <c r="V440" i="6" s="1"/>
  <c r="U441" i="6"/>
  <c r="V441" i="6" s="1"/>
  <c r="U442" i="6"/>
  <c r="V442" i="6" s="1"/>
  <c r="U443" i="6"/>
  <c r="V443" i="6" s="1"/>
  <c r="U444" i="6"/>
  <c r="V444" i="6" s="1"/>
  <c r="U445" i="6"/>
  <c r="V445" i="6" s="1"/>
  <c r="U446" i="6"/>
  <c r="V446" i="6" s="1"/>
  <c r="U447" i="6"/>
  <c r="V447" i="6" s="1"/>
  <c r="U448" i="6"/>
  <c r="V448" i="6" s="1"/>
  <c r="U449" i="6"/>
  <c r="V449" i="6" s="1"/>
  <c r="U450" i="6"/>
  <c r="V450" i="6" s="1"/>
  <c r="U451" i="6"/>
  <c r="V451" i="6" s="1"/>
  <c r="U452" i="6"/>
  <c r="V452" i="6" s="1"/>
  <c r="U453" i="6"/>
  <c r="V453" i="6" s="1"/>
  <c r="U454" i="6"/>
  <c r="V454" i="6" s="1"/>
  <c r="U455" i="6"/>
  <c r="V455" i="6" s="1"/>
  <c r="U456" i="6"/>
  <c r="V456" i="6" s="1"/>
  <c r="U457" i="6"/>
  <c r="V457" i="6" s="1"/>
  <c r="U458" i="6"/>
  <c r="V458" i="6" s="1"/>
  <c r="U459" i="6"/>
  <c r="V459" i="6" s="1"/>
  <c r="U460" i="6"/>
  <c r="V460" i="6" s="1"/>
  <c r="U461" i="6"/>
  <c r="V461" i="6" s="1"/>
  <c r="U462" i="6"/>
  <c r="V462" i="6" s="1"/>
  <c r="U463" i="6"/>
  <c r="V463" i="6" s="1"/>
  <c r="U464" i="6"/>
  <c r="V464" i="6" s="1"/>
  <c r="U465" i="6"/>
  <c r="V465" i="6" s="1"/>
  <c r="U466" i="6"/>
  <c r="V466" i="6" s="1"/>
  <c r="U467" i="6"/>
  <c r="V467" i="6" s="1"/>
  <c r="U468" i="6"/>
  <c r="V468" i="6" s="1"/>
  <c r="U469" i="6"/>
  <c r="V469" i="6" s="1"/>
  <c r="U470" i="6"/>
  <c r="V470" i="6" s="1"/>
  <c r="U471" i="6"/>
  <c r="V471" i="6" s="1"/>
  <c r="U472" i="6"/>
  <c r="V472" i="6" s="1"/>
  <c r="U473" i="6"/>
  <c r="V473" i="6" s="1"/>
  <c r="U474" i="6"/>
  <c r="V474" i="6" s="1"/>
  <c r="U475" i="6"/>
  <c r="V475" i="6" s="1"/>
  <c r="U476" i="6"/>
  <c r="V476" i="6" s="1"/>
  <c r="U477" i="6"/>
  <c r="V477" i="6" s="1"/>
  <c r="U478" i="6"/>
  <c r="V478" i="6" s="1"/>
  <c r="U479" i="6"/>
  <c r="V479" i="6" s="1"/>
  <c r="U480" i="6"/>
  <c r="V480" i="6" s="1"/>
  <c r="U481" i="6"/>
  <c r="V481" i="6" s="1"/>
  <c r="U482" i="6"/>
  <c r="V482" i="6" s="1"/>
  <c r="U483" i="6"/>
  <c r="V483" i="6" s="1"/>
  <c r="U484" i="6"/>
  <c r="V484" i="6" s="1"/>
  <c r="U485" i="6"/>
  <c r="V485" i="6" s="1"/>
  <c r="U486" i="6"/>
  <c r="V486" i="6" s="1"/>
  <c r="U487" i="6"/>
  <c r="V487" i="6" s="1"/>
  <c r="U488" i="6"/>
  <c r="V488" i="6" s="1"/>
  <c r="U489" i="6"/>
  <c r="V489" i="6" s="1"/>
  <c r="U490" i="6"/>
  <c r="V490" i="6" s="1"/>
  <c r="V491" i="6"/>
  <c r="V3" i="6"/>
  <c r="U4" i="6"/>
  <c r="V4" i="6" s="1"/>
  <c r="U5" i="6"/>
  <c r="V5" i="6" s="1"/>
  <c r="U6" i="6"/>
  <c r="V6" i="6" s="1"/>
  <c r="U7" i="6"/>
  <c r="V7" i="6" s="1"/>
  <c r="U8" i="6"/>
  <c r="V8" i="6" s="1"/>
  <c r="U9" i="6"/>
  <c r="V9" i="6" s="1"/>
  <c r="U10" i="6"/>
  <c r="V10" i="6" s="1"/>
  <c r="U11" i="6"/>
  <c r="V11" i="6" s="1"/>
  <c r="U12" i="6"/>
  <c r="V12" i="6" s="1"/>
  <c r="U13" i="6"/>
  <c r="V13" i="6" s="1"/>
  <c r="U14" i="6"/>
  <c r="V14" i="6" s="1"/>
  <c r="U15" i="6"/>
  <c r="V15" i="6" s="1"/>
  <c r="U16" i="6"/>
  <c r="V16" i="6" s="1"/>
  <c r="U17" i="6"/>
  <c r="V17" i="6" s="1"/>
  <c r="U18" i="6"/>
  <c r="V18" i="6" s="1"/>
  <c r="U19" i="6"/>
  <c r="V19" i="6" s="1"/>
  <c r="U20" i="6"/>
  <c r="V20" i="6" s="1"/>
  <c r="U21" i="6"/>
  <c r="V21" i="6" s="1"/>
  <c r="U22" i="6"/>
  <c r="V22" i="6" s="1"/>
  <c r="U23" i="6"/>
  <c r="V23" i="6" s="1"/>
  <c r="U24" i="6"/>
  <c r="V24" i="6" s="1"/>
  <c r="U25" i="6"/>
  <c r="V25" i="6" s="1"/>
  <c r="U26" i="6"/>
  <c r="V26" i="6" s="1"/>
  <c r="U27" i="6"/>
  <c r="V27" i="6" s="1"/>
  <c r="U28" i="6"/>
  <c r="V28" i="6" s="1"/>
  <c r="U29" i="6"/>
  <c r="V29" i="6" s="1"/>
  <c r="U30" i="6"/>
  <c r="V30" i="6" s="1"/>
  <c r="U31" i="6"/>
  <c r="V31" i="6" s="1"/>
  <c r="U32" i="6"/>
  <c r="V32" i="6" s="1"/>
  <c r="U33" i="6"/>
  <c r="V33" i="6" s="1"/>
  <c r="U34" i="6"/>
  <c r="V34" i="6" s="1"/>
  <c r="U35" i="6"/>
  <c r="V35" i="6" s="1"/>
  <c r="U36" i="6"/>
  <c r="V36" i="6" s="1"/>
  <c r="U37" i="6"/>
  <c r="V37" i="6" s="1"/>
  <c r="U38" i="6"/>
  <c r="V38" i="6" s="1"/>
  <c r="U39" i="6"/>
  <c r="V39" i="6" s="1"/>
  <c r="U40" i="6"/>
  <c r="V40" i="6" s="1"/>
  <c r="U41" i="6"/>
  <c r="V41" i="6" s="1"/>
  <c r="U42" i="6"/>
  <c r="V42" i="6" s="1"/>
  <c r="U43" i="6"/>
  <c r="V43" i="6" s="1"/>
  <c r="U44" i="6"/>
  <c r="V44" i="6" s="1"/>
  <c r="U45" i="6"/>
  <c r="V45" i="6" s="1"/>
  <c r="U46" i="6"/>
  <c r="V46" i="6" s="1"/>
  <c r="U47" i="6"/>
  <c r="V47" i="6" s="1"/>
  <c r="U48" i="6"/>
  <c r="V48" i="6" s="1"/>
  <c r="U49" i="6"/>
  <c r="V49" i="6" s="1"/>
  <c r="U50" i="6"/>
  <c r="V50" i="6" s="1"/>
  <c r="U51" i="6"/>
  <c r="V51" i="6" s="1"/>
  <c r="U52" i="6"/>
  <c r="V52" i="6" s="1"/>
  <c r="U53" i="6"/>
  <c r="V53" i="6" s="1"/>
  <c r="U54" i="6"/>
  <c r="V54" i="6" s="1"/>
  <c r="U55" i="6"/>
  <c r="V55" i="6" s="1"/>
  <c r="U56" i="6"/>
  <c r="V56" i="6" s="1"/>
  <c r="U57" i="6"/>
  <c r="V57" i="6" s="1"/>
  <c r="U58" i="6"/>
  <c r="V58" i="6" s="1"/>
  <c r="U59" i="6"/>
  <c r="V59" i="6" s="1"/>
  <c r="U60" i="6"/>
  <c r="V60" i="6" s="1"/>
  <c r="U61" i="6"/>
  <c r="V61" i="6" s="1"/>
  <c r="U62" i="6"/>
  <c r="V62" i="6" s="1"/>
  <c r="U63" i="6"/>
  <c r="V63" i="6" s="1"/>
  <c r="U64" i="6"/>
  <c r="V64" i="6" s="1"/>
  <c r="U65" i="6"/>
  <c r="V65" i="6" s="1"/>
  <c r="U66" i="6"/>
  <c r="V66" i="6" s="1"/>
  <c r="U67" i="6"/>
  <c r="V67" i="6" s="1"/>
  <c r="U68" i="6"/>
  <c r="V68" i="6" s="1"/>
  <c r="U69" i="6"/>
  <c r="V69" i="6" s="1"/>
  <c r="U70" i="6"/>
  <c r="V70" i="6" s="1"/>
  <c r="U71" i="6"/>
  <c r="V71" i="6" s="1"/>
  <c r="U72" i="6"/>
  <c r="V72" i="6" s="1"/>
  <c r="U73" i="6"/>
  <c r="V73" i="6" s="1"/>
  <c r="U74" i="6"/>
  <c r="V74" i="6" s="1"/>
  <c r="U75" i="6"/>
  <c r="V75" i="6" s="1"/>
  <c r="U76" i="6"/>
  <c r="V76" i="6" s="1"/>
  <c r="U77" i="6"/>
  <c r="V77" i="6" s="1"/>
  <c r="U78" i="6"/>
  <c r="V78" i="6" s="1"/>
  <c r="U79" i="6"/>
  <c r="V79" i="6" s="1"/>
  <c r="U80" i="6"/>
  <c r="V80" i="6" s="1"/>
  <c r="U81" i="6"/>
  <c r="V81" i="6" s="1"/>
  <c r="U82" i="6"/>
  <c r="V82" i="6" s="1"/>
  <c r="U83" i="6"/>
  <c r="V83" i="6" s="1"/>
  <c r="U84" i="6"/>
  <c r="V84" i="6" s="1"/>
  <c r="U85" i="6"/>
  <c r="V85" i="6" s="1"/>
  <c r="U86" i="6"/>
  <c r="V86" i="6" s="1"/>
  <c r="U87" i="6"/>
  <c r="V87" i="6" s="1"/>
  <c r="U88" i="6"/>
  <c r="V88" i="6" s="1"/>
  <c r="U89" i="6"/>
  <c r="V89" i="6" s="1"/>
  <c r="U90" i="6"/>
  <c r="V90" i="6" s="1"/>
  <c r="U91" i="6"/>
  <c r="V91" i="6" s="1"/>
  <c r="U92" i="6"/>
  <c r="V92" i="6" s="1"/>
  <c r="U93" i="6"/>
  <c r="V93" i="6" s="1"/>
  <c r="U94" i="6"/>
  <c r="V94" i="6" s="1"/>
  <c r="U95" i="6"/>
  <c r="V95" i="6" s="1"/>
  <c r="U96" i="6"/>
  <c r="V96" i="6" s="1"/>
  <c r="U97" i="6"/>
  <c r="V97" i="6" s="1"/>
  <c r="U98" i="6"/>
  <c r="V98" i="6" s="1"/>
  <c r="U99" i="6"/>
  <c r="V99" i="6" s="1"/>
  <c r="U100" i="6"/>
  <c r="V100" i="6" s="1"/>
  <c r="U101" i="6"/>
  <c r="V101" i="6" s="1"/>
  <c r="U102" i="6"/>
  <c r="V102" i="6" s="1"/>
  <c r="U103" i="6"/>
  <c r="V103" i="6" s="1"/>
  <c r="U104" i="6"/>
  <c r="V104" i="6" s="1"/>
  <c r="U105" i="6"/>
  <c r="V105" i="6" s="1"/>
  <c r="U106" i="6"/>
  <c r="V106" i="6" s="1"/>
  <c r="U107" i="6"/>
  <c r="V107" i="6" s="1"/>
  <c r="U108" i="6"/>
  <c r="V108" i="6" s="1"/>
  <c r="U109" i="6"/>
  <c r="V109" i="6" s="1"/>
  <c r="U110" i="6"/>
  <c r="V110" i="6" s="1"/>
  <c r="U111" i="6"/>
  <c r="V111" i="6" s="1"/>
  <c r="U112" i="6"/>
  <c r="V112" i="6" s="1"/>
  <c r="U113" i="6"/>
  <c r="V113" i="6" s="1"/>
  <c r="U114" i="6"/>
  <c r="V114" i="6" s="1"/>
  <c r="U115" i="6"/>
  <c r="V115" i="6" s="1"/>
  <c r="U116" i="6"/>
  <c r="V116" i="6" s="1"/>
  <c r="U117" i="6"/>
  <c r="V117" i="6" s="1"/>
  <c r="U118" i="6"/>
  <c r="V118" i="6" s="1"/>
  <c r="U119" i="6"/>
  <c r="V119" i="6" s="1"/>
  <c r="U120" i="6"/>
  <c r="V120" i="6" s="1"/>
  <c r="U121" i="6"/>
  <c r="V121" i="6" s="1"/>
  <c r="U122" i="6"/>
  <c r="V122" i="6" s="1"/>
  <c r="U123" i="6"/>
  <c r="V123" i="6" s="1"/>
  <c r="U124" i="6"/>
  <c r="V124" i="6" s="1"/>
  <c r="U125" i="6"/>
  <c r="V125" i="6" s="1"/>
  <c r="U126" i="6"/>
  <c r="V126" i="6" s="1"/>
  <c r="U127" i="6"/>
  <c r="V127" i="6" s="1"/>
  <c r="U128" i="6"/>
  <c r="V128" i="6" s="1"/>
  <c r="U129" i="6"/>
  <c r="V129" i="6" s="1"/>
  <c r="U130" i="6"/>
  <c r="V130" i="6" s="1"/>
  <c r="U131" i="6"/>
  <c r="V131" i="6" s="1"/>
  <c r="U132" i="6"/>
  <c r="V132" i="6" s="1"/>
  <c r="U133" i="6"/>
  <c r="V133" i="6" s="1"/>
  <c r="U134" i="6"/>
  <c r="V134" i="6" s="1"/>
  <c r="U135" i="6"/>
  <c r="V135" i="6" s="1"/>
  <c r="U136" i="6"/>
  <c r="V136" i="6" s="1"/>
  <c r="U137" i="6"/>
  <c r="V137" i="6" s="1"/>
  <c r="U138" i="6"/>
  <c r="V138" i="6" s="1"/>
  <c r="U139" i="6"/>
  <c r="V139" i="6" s="1"/>
  <c r="U140" i="6"/>
  <c r="V140" i="6" s="1"/>
  <c r="U141" i="6"/>
  <c r="V141" i="6" s="1"/>
  <c r="U142" i="6"/>
  <c r="V142" i="6" s="1"/>
  <c r="U143" i="6"/>
  <c r="V143" i="6" s="1"/>
  <c r="U144" i="6"/>
  <c r="V144" i="6" s="1"/>
  <c r="U145" i="6"/>
  <c r="V145" i="6" s="1"/>
  <c r="U146" i="6"/>
  <c r="V146" i="6" s="1"/>
  <c r="U147" i="6"/>
  <c r="V147" i="6" s="1"/>
  <c r="U148" i="6"/>
  <c r="V148" i="6" s="1"/>
  <c r="U149" i="6"/>
  <c r="V149" i="6" s="1"/>
  <c r="U150" i="6"/>
  <c r="V150" i="6" s="1"/>
  <c r="U151" i="6"/>
  <c r="V151" i="6" s="1"/>
  <c r="U152" i="6"/>
  <c r="V152" i="6" s="1"/>
  <c r="U153" i="6"/>
  <c r="V153" i="6" s="1"/>
  <c r="U154" i="6"/>
  <c r="V154" i="6" s="1"/>
  <c r="U155" i="6"/>
  <c r="V155" i="6" s="1"/>
  <c r="U156" i="6"/>
  <c r="V156" i="6" s="1"/>
  <c r="U157" i="6"/>
  <c r="V157" i="6" s="1"/>
  <c r="U158" i="6"/>
  <c r="V158" i="6" s="1"/>
  <c r="U159" i="6"/>
  <c r="V159" i="6" s="1"/>
  <c r="U160" i="6"/>
  <c r="V160" i="6" s="1"/>
  <c r="U161" i="6"/>
  <c r="V161" i="6" s="1"/>
  <c r="U162" i="6"/>
  <c r="V162" i="6" s="1"/>
  <c r="U163" i="6"/>
  <c r="V163" i="6" s="1"/>
  <c r="U164" i="6"/>
  <c r="V164" i="6" s="1"/>
  <c r="U165" i="6"/>
  <c r="V165" i="6" s="1"/>
  <c r="U166" i="6"/>
  <c r="V166" i="6" s="1"/>
  <c r="U167" i="6"/>
  <c r="V167" i="6" s="1"/>
  <c r="U168" i="6"/>
  <c r="V168" i="6" s="1"/>
  <c r="U169" i="6"/>
  <c r="V169" i="6" s="1"/>
  <c r="U170" i="6"/>
  <c r="V170" i="6" s="1"/>
  <c r="U171" i="6"/>
  <c r="V171" i="6" s="1"/>
  <c r="U172" i="6"/>
  <c r="V172" i="6" s="1"/>
  <c r="U173" i="6"/>
  <c r="V173" i="6" s="1"/>
  <c r="U174" i="6"/>
  <c r="V174" i="6" s="1"/>
  <c r="U175" i="6"/>
  <c r="V175" i="6" s="1"/>
  <c r="U176" i="6"/>
  <c r="V176" i="6" s="1"/>
  <c r="U177" i="6"/>
  <c r="V177" i="6" s="1"/>
  <c r="U178" i="6"/>
  <c r="V178" i="6" s="1"/>
  <c r="U179" i="6"/>
  <c r="V179" i="6" s="1"/>
  <c r="U180" i="6"/>
  <c r="V180" i="6" s="1"/>
  <c r="U181" i="6"/>
  <c r="V181" i="6" s="1"/>
  <c r="U182" i="6"/>
  <c r="V182" i="6" s="1"/>
  <c r="U183" i="6"/>
  <c r="V183" i="6" s="1"/>
  <c r="U184" i="6"/>
  <c r="V184" i="6" s="1"/>
  <c r="U185" i="6"/>
  <c r="V185" i="6" s="1"/>
  <c r="U186" i="6"/>
  <c r="V186" i="6" s="1"/>
  <c r="U187" i="6"/>
  <c r="V187" i="6" s="1"/>
  <c r="U188" i="6"/>
  <c r="V188" i="6" s="1"/>
  <c r="U189" i="6"/>
  <c r="V189" i="6" s="1"/>
  <c r="U190" i="6"/>
  <c r="V190" i="6" s="1"/>
  <c r="U191" i="6"/>
  <c r="V191" i="6" s="1"/>
  <c r="U192" i="6"/>
  <c r="V192" i="6" s="1"/>
  <c r="U193" i="6"/>
  <c r="V193" i="6" s="1"/>
  <c r="U194" i="6"/>
  <c r="V194" i="6" s="1"/>
  <c r="U195" i="6"/>
  <c r="V195" i="6" s="1"/>
  <c r="U196" i="6"/>
  <c r="V196" i="6" s="1"/>
  <c r="U197" i="6"/>
  <c r="V197" i="6" s="1"/>
  <c r="U198" i="6"/>
  <c r="V198" i="6" s="1"/>
  <c r="U199" i="6"/>
  <c r="V199" i="6" s="1"/>
  <c r="U200" i="6"/>
  <c r="V200" i="6" s="1"/>
  <c r="U201" i="6"/>
  <c r="V201" i="6" s="1"/>
  <c r="U202" i="6"/>
  <c r="V202" i="6" s="1"/>
  <c r="U203" i="6"/>
  <c r="V203" i="6" s="1"/>
  <c r="U204" i="6"/>
  <c r="V204" i="6" s="1"/>
  <c r="U205" i="6"/>
  <c r="V205" i="6" s="1"/>
  <c r="U206" i="6"/>
  <c r="V206" i="6" s="1"/>
  <c r="U207" i="6"/>
  <c r="V207" i="6" s="1"/>
  <c r="U208" i="6"/>
  <c r="V208" i="6" s="1"/>
  <c r="U209" i="6"/>
  <c r="V209" i="6" s="1"/>
  <c r="U210" i="6"/>
  <c r="V210" i="6" s="1"/>
  <c r="U211" i="6"/>
  <c r="V211" i="6" s="1"/>
  <c r="U212" i="6"/>
  <c r="V212" i="6" s="1"/>
  <c r="U213" i="6"/>
  <c r="V213" i="6" s="1"/>
  <c r="U214" i="6"/>
  <c r="V214" i="6" s="1"/>
  <c r="U215" i="6"/>
  <c r="V215" i="6" s="1"/>
  <c r="U216" i="6"/>
  <c r="V216" i="6" s="1"/>
  <c r="U217" i="6"/>
  <c r="V217" i="6" s="1"/>
  <c r="U218" i="6"/>
  <c r="V218" i="6" s="1"/>
  <c r="U219" i="6"/>
  <c r="V219" i="6" s="1"/>
  <c r="U220" i="6"/>
  <c r="V220" i="6" s="1"/>
  <c r="U221" i="6"/>
  <c r="V221" i="6" s="1"/>
  <c r="U222" i="6"/>
  <c r="V222" i="6" s="1"/>
  <c r="U223" i="6"/>
  <c r="V223" i="6" s="1"/>
  <c r="U224" i="6"/>
  <c r="V224" i="6" s="1"/>
  <c r="U225" i="6"/>
  <c r="V225" i="6" s="1"/>
  <c r="U226" i="6"/>
  <c r="V226" i="6" s="1"/>
  <c r="U227" i="6"/>
  <c r="V227" i="6" s="1"/>
  <c r="U228" i="6"/>
  <c r="V228" i="6" s="1"/>
  <c r="U229" i="6"/>
  <c r="V229" i="6" s="1"/>
  <c r="U230" i="6"/>
  <c r="V230" i="6" s="1"/>
  <c r="U231" i="6"/>
  <c r="V231" i="6" s="1"/>
  <c r="U232" i="6"/>
  <c r="V232" i="6" s="1"/>
  <c r="U233" i="6"/>
  <c r="V233" i="6" s="1"/>
  <c r="U234" i="6"/>
  <c r="V234" i="6" s="1"/>
  <c r="U235" i="6"/>
  <c r="V235" i="6" s="1"/>
  <c r="U236" i="6"/>
  <c r="V236" i="6" s="1"/>
  <c r="U237" i="6"/>
  <c r="V237" i="6" s="1"/>
  <c r="U238" i="6"/>
  <c r="V238" i="6" s="1"/>
  <c r="U239" i="6"/>
  <c r="V239" i="6" s="1"/>
  <c r="U240" i="6"/>
  <c r="V240" i="6" s="1"/>
  <c r="U241" i="6"/>
  <c r="V241" i="6" s="1"/>
  <c r="U242" i="6"/>
  <c r="V242" i="6" s="1"/>
  <c r="U243" i="6"/>
  <c r="V243" i="6" s="1"/>
  <c r="U244" i="6"/>
  <c r="V244" i="6" s="1"/>
  <c r="U245" i="6"/>
  <c r="V245" i="6" s="1"/>
  <c r="U246" i="6"/>
  <c r="V246" i="6" s="1"/>
  <c r="U247" i="6"/>
  <c r="V247" i="6" s="1"/>
  <c r="U248" i="6"/>
  <c r="V248" i="6" s="1"/>
  <c r="U249" i="6"/>
  <c r="V249" i="6" s="1"/>
  <c r="U250" i="6"/>
  <c r="V250" i="6" s="1"/>
  <c r="U251" i="6"/>
  <c r="V251" i="6" s="1"/>
  <c r="U252" i="6"/>
  <c r="V252" i="6" s="1"/>
  <c r="U253" i="6"/>
  <c r="V253" i="6" s="1"/>
  <c r="U254" i="6"/>
  <c r="V254" i="6" s="1"/>
  <c r="U255" i="6"/>
  <c r="V255" i="6" s="1"/>
  <c r="U256" i="6"/>
  <c r="V256" i="6" s="1"/>
  <c r="U257" i="6"/>
  <c r="V257" i="6" s="1"/>
  <c r="U258" i="6"/>
  <c r="V258" i="6" s="1"/>
  <c r="U259" i="6"/>
  <c r="V259" i="6" s="1"/>
  <c r="U260" i="6"/>
  <c r="V260" i="6" s="1"/>
  <c r="U261" i="6"/>
  <c r="V261" i="6" s="1"/>
  <c r="U262" i="6"/>
  <c r="V262" i="6" s="1"/>
  <c r="U263" i="6"/>
  <c r="V263" i="6" s="1"/>
  <c r="U264" i="6"/>
  <c r="V264" i="6" s="1"/>
  <c r="U265" i="6"/>
  <c r="V265" i="6" s="1"/>
  <c r="U266" i="6"/>
  <c r="V266" i="6" s="1"/>
  <c r="U267" i="6"/>
  <c r="V267" i="6" s="1"/>
  <c r="U268" i="6"/>
  <c r="V268" i="6" s="1"/>
  <c r="U269" i="6"/>
  <c r="V269" i="6" s="1"/>
  <c r="U270" i="6"/>
  <c r="V270" i="6" s="1"/>
  <c r="U271" i="6"/>
  <c r="V271" i="6" s="1"/>
  <c r="U272" i="6"/>
  <c r="V272" i="6" s="1"/>
  <c r="U273" i="6"/>
  <c r="V273" i="6" s="1"/>
  <c r="U274" i="6"/>
  <c r="V274" i="6" s="1"/>
  <c r="U275" i="6"/>
  <c r="V275" i="6" s="1"/>
  <c r="U276" i="6"/>
  <c r="V276" i="6" s="1"/>
  <c r="U277" i="6"/>
  <c r="V277" i="6" s="1"/>
  <c r="U278" i="6"/>
  <c r="V278" i="6" s="1"/>
  <c r="U279" i="6"/>
  <c r="V279" i="6" s="1"/>
  <c r="U280" i="6"/>
  <c r="V280" i="6" s="1"/>
  <c r="U281" i="6"/>
  <c r="V281" i="6" s="1"/>
  <c r="U282" i="6"/>
  <c r="V282" i="6" s="1"/>
  <c r="U283" i="6"/>
  <c r="V283" i="6" s="1"/>
  <c r="U284" i="6"/>
  <c r="V284" i="6" s="1"/>
  <c r="U285" i="6"/>
  <c r="V285" i="6" s="1"/>
  <c r="U286" i="6"/>
  <c r="V286" i="6" s="1"/>
  <c r="U287" i="6"/>
  <c r="V287" i="6" s="1"/>
  <c r="U288" i="6"/>
  <c r="V288" i="6" s="1"/>
  <c r="U289" i="6"/>
  <c r="V289" i="6" s="1"/>
  <c r="U290" i="6"/>
  <c r="V290" i="6" s="1"/>
  <c r="U291" i="6"/>
  <c r="V291" i="6" s="1"/>
  <c r="U292" i="6"/>
  <c r="V292" i="6" s="1"/>
  <c r="U293" i="6"/>
  <c r="V293" i="6" s="1"/>
  <c r="U294" i="6"/>
  <c r="V294" i="6" s="1"/>
  <c r="U295" i="6"/>
  <c r="V295" i="6" s="1"/>
  <c r="U296" i="6"/>
  <c r="V296" i="6" s="1"/>
  <c r="U297" i="6"/>
  <c r="V297" i="6" s="1"/>
  <c r="U298" i="6"/>
  <c r="V298" i="6" s="1"/>
  <c r="U299" i="6"/>
  <c r="V299" i="6" s="1"/>
  <c r="U300" i="6"/>
  <c r="V300" i="6" s="1"/>
  <c r="U301" i="6"/>
  <c r="V301" i="6" s="1"/>
  <c r="U302" i="6"/>
  <c r="V302" i="6" s="1"/>
  <c r="U303" i="6"/>
  <c r="V303" i="6" s="1"/>
  <c r="U304" i="6"/>
  <c r="V304" i="6" s="1"/>
  <c r="U305" i="6"/>
  <c r="V305" i="6" s="1"/>
  <c r="U306" i="6"/>
  <c r="V306" i="6" s="1"/>
  <c r="U307" i="6"/>
  <c r="V307" i="6" s="1"/>
  <c r="U308" i="6"/>
  <c r="V308" i="6" s="1"/>
  <c r="U309" i="6"/>
  <c r="V309" i="6" s="1"/>
  <c r="U310" i="6"/>
  <c r="V310" i="6" s="1"/>
  <c r="U311" i="6"/>
  <c r="V311" i="6" s="1"/>
  <c r="U312" i="6"/>
  <c r="V312" i="6" s="1"/>
  <c r="U313" i="6"/>
  <c r="V313" i="6" s="1"/>
  <c r="U314" i="6"/>
  <c r="V314" i="6" s="1"/>
  <c r="U315" i="6"/>
  <c r="V315" i="6" s="1"/>
  <c r="U316" i="6"/>
  <c r="V316" i="6" s="1"/>
  <c r="U317" i="6"/>
  <c r="V317" i="6" s="1"/>
  <c r="U318" i="6"/>
  <c r="V318" i="6" s="1"/>
  <c r="U319" i="6"/>
  <c r="V319" i="6" s="1"/>
  <c r="U320" i="6"/>
  <c r="V320" i="6" s="1"/>
  <c r="U321" i="6"/>
  <c r="V321" i="6" s="1"/>
  <c r="U322" i="6"/>
  <c r="V322" i="6" s="1"/>
  <c r="U323" i="6"/>
  <c r="V323" i="6" s="1"/>
  <c r="U324" i="6"/>
  <c r="V324" i="6" s="1"/>
  <c r="U325" i="6"/>
  <c r="V325" i="6" s="1"/>
  <c r="U326" i="6"/>
  <c r="V326" i="6" s="1"/>
  <c r="U327" i="6"/>
  <c r="V327" i="6" s="1"/>
  <c r="U328" i="6"/>
  <c r="V328" i="6" s="1"/>
  <c r="U329" i="6"/>
  <c r="V329" i="6" s="1"/>
  <c r="U330" i="6"/>
  <c r="V330" i="6" s="1"/>
  <c r="U331" i="6"/>
  <c r="V331" i="6" s="1"/>
  <c r="U332" i="6"/>
  <c r="V332" i="6" s="1"/>
  <c r="U333" i="6"/>
  <c r="V333" i="6" s="1"/>
  <c r="U334" i="6"/>
  <c r="V334" i="6" s="1"/>
  <c r="U335" i="6"/>
  <c r="V335" i="6" s="1"/>
  <c r="U336" i="6"/>
  <c r="V336" i="6" s="1"/>
  <c r="U337" i="6"/>
  <c r="V337" i="6" s="1"/>
  <c r="U338" i="6"/>
  <c r="V338" i="6" s="1"/>
  <c r="U339" i="6"/>
  <c r="V339" i="6" s="1"/>
  <c r="U340" i="6"/>
  <c r="V340" i="6" s="1"/>
  <c r="U341" i="6"/>
  <c r="V341" i="6" s="1"/>
  <c r="U342" i="6"/>
  <c r="V342" i="6" s="1"/>
  <c r="U343" i="6"/>
  <c r="V343" i="6" s="1"/>
  <c r="U344" i="6"/>
  <c r="V344" i="6" s="1"/>
  <c r="U345" i="6"/>
  <c r="V345" i="6" s="1"/>
  <c r="U346" i="6"/>
  <c r="V346" i="6" s="1"/>
  <c r="U347" i="6"/>
  <c r="V347" i="6" s="1"/>
  <c r="U348" i="6"/>
  <c r="V348" i="6" s="1"/>
  <c r="U349" i="6"/>
  <c r="V349" i="6" s="1"/>
  <c r="U350" i="6"/>
  <c r="V350" i="6" s="1"/>
  <c r="U351" i="6"/>
  <c r="V351" i="6" s="1"/>
  <c r="U352" i="6"/>
  <c r="V352" i="6" s="1"/>
  <c r="U353" i="6"/>
  <c r="V353" i="6" s="1"/>
  <c r="U354" i="6"/>
  <c r="V354" i="6" s="1"/>
  <c r="U355" i="6"/>
  <c r="V355" i="6" s="1"/>
  <c r="U356" i="6"/>
  <c r="V356" i="6" s="1"/>
  <c r="U357" i="6"/>
  <c r="V357" i="6" s="1"/>
  <c r="U358" i="6"/>
  <c r="V358" i="6" s="1"/>
  <c r="U359" i="6"/>
  <c r="V359" i="6" s="1"/>
  <c r="U360" i="6"/>
  <c r="V360" i="6" s="1"/>
  <c r="U361" i="6"/>
  <c r="V361" i="6" s="1"/>
  <c r="U362" i="6"/>
  <c r="V362" i="6" s="1"/>
  <c r="U363" i="6"/>
  <c r="V363" i="6" s="1"/>
  <c r="U364" i="6"/>
  <c r="V364" i="6" s="1"/>
  <c r="U365" i="6"/>
  <c r="V365" i="6" s="1"/>
  <c r="V2" i="6"/>
  <c r="R71" i="6"/>
  <c r="R108" i="6" s="1"/>
  <c r="R41" i="6"/>
  <c r="R78" i="6" s="1"/>
  <c r="R42" i="6"/>
  <c r="R79" i="6" s="1"/>
  <c r="R43" i="6"/>
  <c r="R80" i="6" s="1"/>
  <c r="R44" i="6"/>
  <c r="R81" i="6" s="1"/>
  <c r="R45" i="6"/>
  <c r="R82" i="6" s="1"/>
  <c r="R46" i="6"/>
  <c r="R83" i="6" s="1"/>
  <c r="R47" i="6"/>
  <c r="R84" i="6" s="1"/>
  <c r="R48" i="6"/>
  <c r="R85" i="6" s="1"/>
  <c r="R49" i="6"/>
  <c r="R86" i="6" s="1"/>
  <c r="R50" i="6"/>
  <c r="R87" i="6" s="1"/>
  <c r="R51" i="6"/>
  <c r="R88" i="6" s="1"/>
  <c r="R52" i="6"/>
  <c r="R89" i="6" s="1"/>
  <c r="R53" i="6"/>
  <c r="R90" i="6" s="1"/>
  <c r="R54" i="6"/>
  <c r="R91" i="6" s="1"/>
  <c r="R55" i="6"/>
  <c r="R92" i="6" s="1"/>
  <c r="R56" i="6"/>
  <c r="R93" i="6" s="1"/>
  <c r="R57" i="6"/>
  <c r="R94" i="6" s="1"/>
  <c r="R58" i="6"/>
  <c r="R95" i="6" s="1"/>
  <c r="R59" i="6"/>
  <c r="R96" i="6" s="1"/>
  <c r="R60" i="6"/>
  <c r="R97" i="6" s="1"/>
  <c r="R61" i="6"/>
  <c r="R98" i="6" s="1"/>
  <c r="R62" i="6"/>
  <c r="R99" i="6" s="1"/>
  <c r="R63" i="6"/>
  <c r="R100" i="6" s="1"/>
  <c r="R64" i="6"/>
  <c r="R101" i="6" s="1"/>
  <c r="R65" i="6"/>
  <c r="R102" i="6" s="1"/>
  <c r="R66" i="6"/>
  <c r="R103" i="6" s="1"/>
  <c r="R67" i="6"/>
  <c r="R104" i="6" s="1"/>
  <c r="R68" i="6"/>
  <c r="R105" i="6" s="1"/>
  <c r="R69" i="6"/>
  <c r="R106" i="6" s="1"/>
  <c r="R70" i="6"/>
  <c r="R107" i="6" s="1"/>
  <c r="R40" i="6"/>
  <c r="R77" i="6" s="1"/>
  <c r="A40" i="6"/>
  <c r="A41" i="6"/>
  <c r="O62" i="6"/>
  <c r="N58" i="6"/>
  <c r="A43" i="6"/>
  <c r="A78" i="6"/>
  <c r="A80" i="6"/>
  <c r="N95" i="6"/>
  <c r="A70" i="6"/>
  <c r="A107" i="6" s="1"/>
  <c r="B40" i="6"/>
  <c r="B77" i="6" s="1"/>
  <c r="C40" i="6"/>
  <c r="C77" i="6" s="1"/>
  <c r="D40" i="6"/>
  <c r="D77" i="6" s="1"/>
  <c r="E40" i="6"/>
  <c r="E77" i="6" s="1"/>
  <c r="F40" i="6"/>
  <c r="F77" i="6" s="1"/>
  <c r="G40" i="6"/>
  <c r="G77" i="6" s="1"/>
  <c r="H40" i="6"/>
  <c r="H77" i="6" s="1"/>
  <c r="I40" i="6"/>
  <c r="I77" i="6" s="1"/>
  <c r="J40" i="6"/>
  <c r="J77" i="6" s="1"/>
  <c r="K40" i="6"/>
  <c r="K77" i="6" s="1"/>
  <c r="L40" i="6"/>
  <c r="L77" i="6" s="1"/>
  <c r="M40" i="6"/>
  <c r="M77" i="6" s="1"/>
  <c r="N40" i="6"/>
  <c r="N77" i="6" s="1"/>
  <c r="O40" i="6"/>
  <c r="O77" i="6" s="1"/>
  <c r="P40" i="6"/>
  <c r="P77" i="6" s="1"/>
  <c r="Q40" i="6"/>
  <c r="Q77" i="6" s="1"/>
  <c r="B41" i="6"/>
  <c r="B78" i="6" s="1"/>
  <c r="C41" i="6"/>
  <c r="C78" i="6" s="1"/>
  <c r="D41" i="6"/>
  <c r="D78" i="6" s="1"/>
  <c r="E41" i="6"/>
  <c r="E78" i="6" s="1"/>
  <c r="F41" i="6"/>
  <c r="F78" i="6" s="1"/>
  <c r="G41" i="6"/>
  <c r="G78" i="6" s="1"/>
  <c r="H41" i="6"/>
  <c r="H78" i="6" s="1"/>
  <c r="I41" i="6"/>
  <c r="I78" i="6" s="1"/>
  <c r="J41" i="6"/>
  <c r="J78" i="6" s="1"/>
  <c r="K41" i="6"/>
  <c r="K78" i="6" s="1"/>
  <c r="L41" i="6"/>
  <c r="L78" i="6" s="1"/>
  <c r="M41" i="6"/>
  <c r="M78" i="6" s="1"/>
  <c r="N41" i="6"/>
  <c r="N78" i="6" s="1"/>
  <c r="O41" i="6"/>
  <c r="O78" i="6" s="1"/>
  <c r="P41" i="6"/>
  <c r="P78" i="6" s="1"/>
  <c r="Q41" i="6"/>
  <c r="Q78" i="6" s="1"/>
  <c r="B42" i="6"/>
  <c r="B79" i="6" s="1"/>
  <c r="C42" i="6"/>
  <c r="C79" i="6" s="1"/>
  <c r="D42" i="6"/>
  <c r="D79" i="6" s="1"/>
  <c r="E42" i="6"/>
  <c r="E79" i="6" s="1"/>
  <c r="F42" i="6"/>
  <c r="F79" i="6" s="1"/>
  <c r="G42" i="6"/>
  <c r="G79" i="6" s="1"/>
  <c r="H42" i="6"/>
  <c r="H79" i="6" s="1"/>
  <c r="I42" i="6"/>
  <c r="I79" i="6" s="1"/>
  <c r="J42" i="6"/>
  <c r="J79" i="6" s="1"/>
  <c r="K42" i="6"/>
  <c r="K79" i="6" s="1"/>
  <c r="L42" i="6"/>
  <c r="L79" i="6" s="1"/>
  <c r="M42" i="6"/>
  <c r="M79" i="6" s="1"/>
  <c r="N42" i="6"/>
  <c r="N79" i="6" s="1"/>
  <c r="O42" i="6"/>
  <c r="O79" i="6" s="1"/>
  <c r="P42" i="6"/>
  <c r="P79" i="6" s="1"/>
  <c r="Q42" i="6"/>
  <c r="Q79" i="6" s="1"/>
  <c r="B43" i="6"/>
  <c r="B80" i="6" s="1"/>
  <c r="C43" i="6"/>
  <c r="C80" i="6" s="1"/>
  <c r="D43" i="6"/>
  <c r="D80" i="6" s="1"/>
  <c r="E43" i="6"/>
  <c r="E80" i="6" s="1"/>
  <c r="F43" i="6"/>
  <c r="F80" i="6" s="1"/>
  <c r="G43" i="6"/>
  <c r="G80" i="6" s="1"/>
  <c r="H43" i="6"/>
  <c r="H80" i="6" s="1"/>
  <c r="I43" i="6"/>
  <c r="I80" i="6" s="1"/>
  <c r="J43" i="6"/>
  <c r="J80" i="6" s="1"/>
  <c r="K43" i="6"/>
  <c r="K80" i="6" s="1"/>
  <c r="L43" i="6"/>
  <c r="L80" i="6" s="1"/>
  <c r="M43" i="6"/>
  <c r="M80" i="6" s="1"/>
  <c r="N43" i="6"/>
  <c r="N80" i="6" s="1"/>
  <c r="O43" i="6"/>
  <c r="O80" i="6" s="1"/>
  <c r="P43" i="6"/>
  <c r="P80" i="6" s="1"/>
  <c r="Q43" i="6"/>
  <c r="Q80" i="6" s="1"/>
  <c r="B44" i="6"/>
  <c r="B81" i="6" s="1"/>
  <c r="C44" i="6"/>
  <c r="C81" i="6" s="1"/>
  <c r="D44" i="6"/>
  <c r="D81" i="6" s="1"/>
  <c r="E44" i="6"/>
  <c r="E81" i="6" s="1"/>
  <c r="F44" i="6"/>
  <c r="F81" i="6" s="1"/>
  <c r="G44" i="6"/>
  <c r="G81" i="6" s="1"/>
  <c r="H44" i="6"/>
  <c r="H81" i="6" s="1"/>
  <c r="I44" i="6"/>
  <c r="I81" i="6" s="1"/>
  <c r="J44" i="6"/>
  <c r="J81" i="6" s="1"/>
  <c r="K44" i="6"/>
  <c r="K81" i="6" s="1"/>
  <c r="L44" i="6"/>
  <c r="L81" i="6" s="1"/>
  <c r="M44" i="6"/>
  <c r="M81" i="6" s="1"/>
  <c r="N44" i="6"/>
  <c r="N81" i="6" s="1"/>
  <c r="O44" i="6"/>
  <c r="O81" i="6" s="1"/>
  <c r="P44" i="6"/>
  <c r="P81" i="6" s="1"/>
  <c r="Q44" i="6"/>
  <c r="Q81" i="6" s="1"/>
  <c r="B45" i="6"/>
  <c r="B82" i="6" s="1"/>
  <c r="C45" i="6"/>
  <c r="C82" i="6" s="1"/>
  <c r="D45" i="6"/>
  <c r="D82" i="6" s="1"/>
  <c r="E45" i="6"/>
  <c r="E82" i="6" s="1"/>
  <c r="F45" i="6"/>
  <c r="F82" i="6" s="1"/>
  <c r="G45" i="6"/>
  <c r="G82" i="6" s="1"/>
  <c r="H45" i="6"/>
  <c r="H82" i="6" s="1"/>
  <c r="I45" i="6"/>
  <c r="I82" i="6" s="1"/>
  <c r="J45" i="6"/>
  <c r="J82" i="6" s="1"/>
  <c r="K45" i="6"/>
  <c r="K82" i="6" s="1"/>
  <c r="L45" i="6"/>
  <c r="L82" i="6" s="1"/>
  <c r="M45" i="6"/>
  <c r="M82" i="6" s="1"/>
  <c r="N45" i="6"/>
  <c r="N82" i="6" s="1"/>
  <c r="O45" i="6"/>
  <c r="O82" i="6" s="1"/>
  <c r="P45" i="6"/>
  <c r="P82" i="6" s="1"/>
  <c r="Q45" i="6"/>
  <c r="Q82" i="6" s="1"/>
  <c r="B46" i="6"/>
  <c r="B83" i="6" s="1"/>
  <c r="C46" i="6"/>
  <c r="C83" i="6" s="1"/>
  <c r="D46" i="6"/>
  <c r="D83" i="6" s="1"/>
  <c r="E46" i="6"/>
  <c r="E83" i="6" s="1"/>
  <c r="F46" i="6"/>
  <c r="F83" i="6" s="1"/>
  <c r="G46" i="6"/>
  <c r="G83" i="6" s="1"/>
  <c r="H46" i="6"/>
  <c r="H83" i="6" s="1"/>
  <c r="I46" i="6"/>
  <c r="I83" i="6" s="1"/>
  <c r="J46" i="6"/>
  <c r="J83" i="6" s="1"/>
  <c r="K46" i="6"/>
  <c r="K83" i="6" s="1"/>
  <c r="L46" i="6"/>
  <c r="L83" i="6" s="1"/>
  <c r="M46" i="6"/>
  <c r="M83" i="6" s="1"/>
  <c r="N46" i="6"/>
  <c r="N83" i="6" s="1"/>
  <c r="O46" i="6"/>
  <c r="O83" i="6" s="1"/>
  <c r="P46" i="6"/>
  <c r="P83" i="6" s="1"/>
  <c r="Q46" i="6"/>
  <c r="Q83" i="6" s="1"/>
  <c r="B47" i="6"/>
  <c r="B84" i="6" s="1"/>
  <c r="C47" i="6"/>
  <c r="C84" i="6" s="1"/>
  <c r="D47" i="6"/>
  <c r="D84" i="6" s="1"/>
  <c r="E47" i="6"/>
  <c r="E84" i="6" s="1"/>
  <c r="F47" i="6"/>
  <c r="F84" i="6" s="1"/>
  <c r="G47" i="6"/>
  <c r="G84" i="6" s="1"/>
  <c r="H47" i="6"/>
  <c r="H84" i="6" s="1"/>
  <c r="I47" i="6"/>
  <c r="I84" i="6" s="1"/>
  <c r="J47" i="6"/>
  <c r="J84" i="6" s="1"/>
  <c r="K47" i="6"/>
  <c r="K84" i="6" s="1"/>
  <c r="L47" i="6"/>
  <c r="L84" i="6" s="1"/>
  <c r="M47" i="6"/>
  <c r="M84" i="6" s="1"/>
  <c r="N47" i="6"/>
  <c r="N84" i="6" s="1"/>
  <c r="O47" i="6"/>
  <c r="O84" i="6" s="1"/>
  <c r="P47" i="6"/>
  <c r="P84" i="6" s="1"/>
  <c r="Q47" i="6"/>
  <c r="Q84" i="6" s="1"/>
  <c r="B48" i="6"/>
  <c r="B85" i="6" s="1"/>
  <c r="C48" i="6"/>
  <c r="C85" i="6" s="1"/>
  <c r="D48" i="6"/>
  <c r="D85" i="6" s="1"/>
  <c r="E48" i="6"/>
  <c r="E85" i="6" s="1"/>
  <c r="F48" i="6"/>
  <c r="F85" i="6" s="1"/>
  <c r="G48" i="6"/>
  <c r="G85" i="6" s="1"/>
  <c r="H48" i="6"/>
  <c r="H85" i="6" s="1"/>
  <c r="I48" i="6"/>
  <c r="I85" i="6" s="1"/>
  <c r="J48" i="6"/>
  <c r="J85" i="6" s="1"/>
  <c r="K48" i="6"/>
  <c r="K85" i="6" s="1"/>
  <c r="L48" i="6"/>
  <c r="L85" i="6" s="1"/>
  <c r="M48" i="6"/>
  <c r="M85" i="6" s="1"/>
  <c r="N48" i="6"/>
  <c r="N85" i="6" s="1"/>
  <c r="O48" i="6"/>
  <c r="O85" i="6" s="1"/>
  <c r="P48" i="6"/>
  <c r="P85" i="6" s="1"/>
  <c r="Q48" i="6"/>
  <c r="Q85" i="6" s="1"/>
  <c r="B49" i="6"/>
  <c r="B86" i="6" s="1"/>
  <c r="C49" i="6"/>
  <c r="C86" i="6" s="1"/>
  <c r="D49" i="6"/>
  <c r="D86" i="6" s="1"/>
  <c r="E49" i="6"/>
  <c r="E86" i="6" s="1"/>
  <c r="F49" i="6"/>
  <c r="F86" i="6" s="1"/>
  <c r="G49" i="6"/>
  <c r="G86" i="6" s="1"/>
  <c r="H49" i="6"/>
  <c r="H86" i="6" s="1"/>
  <c r="I49" i="6"/>
  <c r="I86" i="6" s="1"/>
  <c r="J49" i="6"/>
  <c r="J86" i="6" s="1"/>
  <c r="K49" i="6"/>
  <c r="K86" i="6" s="1"/>
  <c r="L49" i="6"/>
  <c r="L86" i="6" s="1"/>
  <c r="M49" i="6"/>
  <c r="M86" i="6" s="1"/>
  <c r="N49" i="6"/>
  <c r="N86" i="6" s="1"/>
  <c r="O49" i="6"/>
  <c r="O86" i="6" s="1"/>
  <c r="P49" i="6"/>
  <c r="P86" i="6" s="1"/>
  <c r="Q49" i="6"/>
  <c r="Q86" i="6" s="1"/>
  <c r="B50" i="6"/>
  <c r="B87" i="6" s="1"/>
  <c r="C50" i="6"/>
  <c r="C87" i="6" s="1"/>
  <c r="D50" i="6"/>
  <c r="D87" i="6" s="1"/>
  <c r="E50" i="6"/>
  <c r="E87" i="6" s="1"/>
  <c r="F50" i="6"/>
  <c r="F87" i="6" s="1"/>
  <c r="G50" i="6"/>
  <c r="G87" i="6" s="1"/>
  <c r="H50" i="6"/>
  <c r="H87" i="6" s="1"/>
  <c r="I50" i="6"/>
  <c r="I87" i="6" s="1"/>
  <c r="J50" i="6"/>
  <c r="J87" i="6" s="1"/>
  <c r="K50" i="6"/>
  <c r="K87" i="6" s="1"/>
  <c r="L50" i="6"/>
  <c r="L87" i="6" s="1"/>
  <c r="M50" i="6"/>
  <c r="M87" i="6" s="1"/>
  <c r="N50" i="6"/>
  <c r="N87" i="6" s="1"/>
  <c r="O50" i="6"/>
  <c r="O87" i="6" s="1"/>
  <c r="P50" i="6"/>
  <c r="P87" i="6" s="1"/>
  <c r="Q50" i="6"/>
  <c r="Q87" i="6" s="1"/>
  <c r="B51" i="6"/>
  <c r="B88" i="6" s="1"/>
  <c r="C51" i="6"/>
  <c r="C88" i="6" s="1"/>
  <c r="D51" i="6"/>
  <c r="D88" i="6" s="1"/>
  <c r="E51" i="6"/>
  <c r="E88" i="6" s="1"/>
  <c r="F51" i="6"/>
  <c r="F88" i="6" s="1"/>
  <c r="G51" i="6"/>
  <c r="G88" i="6" s="1"/>
  <c r="H51" i="6"/>
  <c r="H88" i="6" s="1"/>
  <c r="I51" i="6"/>
  <c r="I88" i="6" s="1"/>
  <c r="J51" i="6"/>
  <c r="J88" i="6" s="1"/>
  <c r="K51" i="6"/>
  <c r="K88" i="6" s="1"/>
  <c r="L51" i="6"/>
  <c r="L88" i="6" s="1"/>
  <c r="M51" i="6"/>
  <c r="M88" i="6" s="1"/>
  <c r="N51" i="6"/>
  <c r="N88" i="6" s="1"/>
  <c r="O51" i="6"/>
  <c r="O88" i="6" s="1"/>
  <c r="P51" i="6"/>
  <c r="P88" i="6" s="1"/>
  <c r="Q51" i="6"/>
  <c r="Q88" i="6" s="1"/>
  <c r="B52" i="6"/>
  <c r="B89" i="6" s="1"/>
  <c r="C52" i="6"/>
  <c r="C89" i="6" s="1"/>
  <c r="D52" i="6"/>
  <c r="D89" i="6" s="1"/>
  <c r="E52" i="6"/>
  <c r="E89" i="6" s="1"/>
  <c r="F52" i="6"/>
  <c r="F89" i="6" s="1"/>
  <c r="G52" i="6"/>
  <c r="G89" i="6" s="1"/>
  <c r="H52" i="6"/>
  <c r="H89" i="6" s="1"/>
  <c r="I52" i="6"/>
  <c r="I89" i="6" s="1"/>
  <c r="J52" i="6"/>
  <c r="J89" i="6" s="1"/>
  <c r="K52" i="6"/>
  <c r="K89" i="6" s="1"/>
  <c r="L52" i="6"/>
  <c r="L89" i="6" s="1"/>
  <c r="M52" i="6"/>
  <c r="M89" i="6" s="1"/>
  <c r="N52" i="6"/>
  <c r="N89" i="6" s="1"/>
  <c r="O52" i="6"/>
  <c r="O89" i="6" s="1"/>
  <c r="P52" i="6"/>
  <c r="P89" i="6" s="1"/>
  <c r="Q52" i="6"/>
  <c r="Q89" i="6" s="1"/>
  <c r="B53" i="6"/>
  <c r="B90" i="6" s="1"/>
  <c r="C53" i="6"/>
  <c r="C90" i="6" s="1"/>
  <c r="D53" i="6"/>
  <c r="D90" i="6" s="1"/>
  <c r="E53" i="6"/>
  <c r="E90" i="6" s="1"/>
  <c r="F53" i="6"/>
  <c r="F90" i="6" s="1"/>
  <c r="G53" i="6"/>
  <c r="G90" i="6" s="1"/>
  <c r="H53" i="6"/>
  <c r="H90" i="6" s="1"/>
  <c r="I53" i="6"/>
  <c r="I90" i="6" s="1"/>
  <c r="J53" i="6"/>
  <c r="J90" i="6" s="1"/>
  <c r="K53" i="6"/>
  <c r="K90" i="6" s="1"/>
  <c r="L53" i="6"/>
  <c r="L90" i="6" s="1"/>
  <c r="M53" i="6"/>
  <c r="M90" i="6" s="1"/>
  <c r="N53" i="6"/>
  <c r="N90" i="6" s="1"/>
  <c r="O53" i="6"/>
  <c r="O90" i="6" s="1"/>
  <c r="P53" i="6"/>
  <c r="P90" i="6" s="1"/>
  <c r="Q53" i="6"/>
  <c r="Q90" i="6" s="1"/>
  <c r="B54" i="6"/>
  <c r="B91" i="6" s="1"/>
  <c r="C54" i="6"/>
  <c r="C91" i="6" s="1"/>
  <c r="D54" i="6"/>
  <c r="D91" i="6" s="1"/>
  <c r="E54" i="6"/>
  <c r="E91" i="6" s="1"/>
  <c r="F54" i="6"/>
  <c r="F91" i="6" s="1"/>
  <c r="G54" i="6"/>
  <c r="G91" i="6" s="1"/>
  <c r="H54" i="6"/>
  <c r="H91" i="6" s="1"/>
  <c r="I54" i="6"/>
  <c r="I91" i="6" s="1"/>
  <c r="J54" i="6"/>
  <c r="J91" i="6" s="1"/>
  <c r="K54" i="6"/>
  <c r="K91" i="6" s="1"/>
  <c r="L54" i="6"/>
  <c r="L91" i="6" s="1"/>
  <c r="M54" i="6"/>
  <c r="M91" i="6" s="1"/>
  <c r="N54" i="6"/>
  <c r="N91" i="6" s="1"/>
  <c r="O54" i="6"/>
  <c r="O91" i="6" s="1"/>
  <c r="P54" i="6"/>
  <c r="P91" i="6" s="1"/>
  <c r="Q54" i="6"/>
  <c r="Q91" i="6" s="1"/>
  <c r="B55" i="6"/>
  <c r="B92" i="6" s="1"/>
  <c r="C55" i="6"/>
  <c r="C92" i="6" s="1"/>
  <c r="D55" i="6"/>
  <c r="D92" i="6" s="1"/>
  <c r="E55" i="6"/>
  <c r="E92" i="6" s="1"/>
  <c r="F55" i="6"/>
  <c r="F92" i="6" s="1"/>
  <c r="G55" i="6"/>
  <c r="G92" i="6" s="1"/>
  <c r="H55" i="6"/>
  <c r="H92" i="6" s="1"/>
  <c r="I55" i="6"/>
  <c r="I92" i="6" s="1"/>
  <c r="J55" i="6"/>
  <c r="J92" i="6" s="1"/>
  <c r="K55" i="6"/>
  <c r="K92" i="6" s="1"/>
  <c r="L55" i="6"/>
  <c r="L92" i="6" s="1"/>
  <c r="M55" i="6"/>
  <c r="M92" i="6" s="1"/>
  <c r="N55" i="6"/>
  <c r="N92" i="6" s="1"/>
  <c r="O55" i="6"/>
  <c r="O92" i="6" s="1"/>
  <c r="P55" i="6"/>
  <c r="P92" i="6" s="1"/>
  <c r="Q55" i="6"/>
  <c r="Q92" i="6" s="1"/>
  <c r="B56" i="6"/>
  <c r="B93" i="6" s="1"/>
  <c r="C56" i="6"/>
  <c r="C93" i="6" s="1"/>
  <c r="D56" i="6"/>
  <c r="D93" i="6" s="1"/>
  <c r="E56" i="6"/>
  <c r="E93" i="6" s="1"/>
  <c r="F56" i="6"/>
  <c r="F93" i="6" s="1"/>
  <c r="G56" i="6"/>
  <c r="G93" i="6" s="1"/>
  <c r="H56" i="6"/>
  <c r="H93" i="6" s="1"/>
  <c r="I56" i="6"/>
  <c r="I93" i="6" s="1"/>
  <c r="J56" i="6"/>
  <c r="J93" i="6" s="1"/>
  <c r="K56" i="6"/>
  <c r="K93" i="6" s="1"/>
  <c r="L56" i="6"/>
  <c r="L93" i="6" s="1"/>
  <c r="M56" i="6"/>
  <c r="M93" i="6" s="1"/>
  <c r="N56" i="6"/>
  <c r="N93" i="6" s="1"/>
  <c r="O56" i="6"/>
  <c r="O93" i="6" s="1"/>
  <c r="P56" i="6"/>
  <c r="P93" i="6" s="1"/>
  <c r="Q56" i="6"/>
  <c r="Q93" i="6" s="1"/>
  <c r="B57" i="6"/>
  <c r="B94" i="6" s="1"/>
  <c r="C57" i="6"/>
  <c r="C94" i="6" s="1"/>
  <c r="D57" i="6"/>
  <c r="D94" i="6" s="1"/>
  <c r="E57" i="6"/>
  <c r="E94" i="6" s="1"/>
  <c r="F57" i="6"/>
  <c r="F94" i="6" s="1"/>
  <c r="G57" i="6"/>
  <c r="G94" i="6" s="1"/>
  <c r="H57" i="6"/>
  <c r="H94" i="6" s="1"/>
  <c r="I57" i="6"/>
  <c r="I94" i="6" s="1"/>
  <c r="J57" i="6"/>
  <c r="J94" i="6" s="1"/>
  <c r="K57" i="6"/>
  <c r="K94" i="6" s="1"/>
  <c r="L57" i="6"/>
  <c r="L94" i="6" s="1"/>
  <c r="M57" i="6"/>
  <c r="M94" i="6" s="1"/>
  <c r="N57" i="6"/>
  <c r="N94" i="6" s="1"/>
  <c r="O57" i="6"/>
  <c r="O94" i="6" s="1"/>
  <c r="P57" i="6"/>
  <c r="P94" i="6" s="1"/>
  <c r="Q57" i="6"/>
  <c r="Q94" i="6" s="1"/>
  <c r="B58" i="6"/>
  <c r="B95" i="6" s="1"/>
  <c r="C58" i="6"/>
  <c r="C95" i="6" s="1"/>
  <c r="D58" i="6"/>
  <c r="D95" i="6" s="1"/>
  <c r="E58" i="6"/>
  <c r="E95" i="6" s="1"/>
  <c r="F58" i="6"/>
  <c r="F95" i="6" s="1"/>
  <c r="G58" i="6"/>
  <c r="G95" i="6" s="1"/>
  <c r="H58" i="6"/>
  <c r="H95" i="6" s="1"/>
  <c r="I58" i="6"/>
  <c r="I95" i="6" s="1"/>
  <c r="J58" i="6"/>
  <c r="J95" i="6" s="1"/>
  <c r="K58" i="6"/>
  <c r="K95" i="6" s="1"/>
  <c r="L58" i="6"/>
  <c r="L95" i="6" s="1"/>
  <c r="M58" i="6"/>
  <c r="M95" i="6" s="1"/>
  <c r="O58" i="6"/>
  <c r="O95" i="6" s="1"/>
  <c r="P58" i="6"/>
  <c r="P95" i="6" s="1"/>
  <c r="Q58" i="6"/>
  <c r="Q95" i="6" s="1"/>
  <c r="B59" i="6"/>
  <c r="B96" i="6" s="1"/>
  <c r="C59" i="6"/>
  <c r="C96" i="6" s="1"/>
  <c r="D59" i="6"/>
  <c r="D96" i="6" s="1"/>
  <c r="E59" i="6"/>
  <c r="E96" i="6" s="1"/>
  <c r="F59" i="6"/>
  <c r="F96" i="6" s="1"/>
  <c r="G59" i="6"/>
  <c r="G96" i="6" s="1"/>
  <c r="H59" i="6"/>
  <c r="H96" i="6" s="1"/>
  <c r="I59" i="6"/>
  <c r="I96" i="6" s="1"/>
  <c r="J59" i="6"/>
  <c r="J96" i="6" s="1"/>
  <c r="K59" i="6"/>
  <c r="K96" i="6" s="1"/>
  <c r="L59" i="6"/>
  <c r="L96" i="6" s="1"/>
  <c r="M59" i="6"/>
  <c r="M96" i="6" s="1"/>
  <c r="N59" i="6"/>
  <c r="N96" i="6" s="1"/>
  <c r="O59" i="6"/>
  <c r="O96" i="6" s="1"/>
  <c r="P59" i="6"/>
  <c r="P96" i="6" s="1"/>
  <c r="Q59" i="6"/>
  <c r="Q96" i="6" s="1"/>
  <c r="B60" i="6"/>
  <c r="B97" i="6" s="1"/>
  <c r="C60" i="6"/>
  <c r="C97" i="6" s="1"/>
  <c r="D60" i="6"/>
  <c r="D97" i="6" s="1"/>
  <c r="E60" i="6"/>
  <c r="E97" i="6" s="1"/>
  <c r="F60" i="6"/>
  <c r="F97" i="6" s="1"/>
  <c r="G60" i="6"/>
  <c r="G97" i="6" s="1"/>
  <c r="H60" i="6"/>
  <c r="H97" i="6" s="1"/>
  <c r="I60" i="6"/>
  <c r="I97" i="6" s="1"/>
  <c r="J60" i="6"/>
  <c r="J97" i="6" s="1"/>
  <c r="K60" i="6"/>
  <c r="K97" i="6" s="1"/>
  <c r="L60" i="6"/>
  <c r="L97" i="6" s="1"/>
  <c r="M60" i="6"/>
  <c r="M97" i="6" s="1"/>
  <c r="N60" i="6"/>
  <c r="N97" i="6" s="1"/>
  <c r="O60" i="6"/>
  <c r="O97" i="6" s="1"/>
  <c r="P60" i="6"/>
  <c r="P97" i="6" s="1"/>
  <c r="Q60" i="6"/>
  <c r="Q97" i="6" s="1"/>
  <c r="B61" i="6"/>
  <c r="B98" i="6" s="1"/>
  <c r="C61" i="6"/>
  <c r="C98" i="6" s="1"/>
  <c r="D61" i="6"/>
  <c r="D98" i="6" s="1"/>
  <c r="E61" i="6"/>
  <c r="E98" i="6" s="1"/>
  <c r="F61" i="6"/>
  <c r="F98" i="6" s="1"/>
  <c r="G61" i="6"/>
  <c r="G98" i="6" s="1"/>
  <c r="H61" i="6"/>
  <c r="H98" i="6" s="1"/>
  <c r="I61" i="6"/>
  <c r="I98" i="6" s="1"/>
  <c r="J61" i="6"/>
  <c r="J98" i="6" s="1"/>
  <c r="K61" i="6"/>
  <c r="K98" i="6" s="1"/>
  <c r="L61" i="6"/>
  <c r="L98" i="6" s="1"/>
  <c r="M61" i="6"/>
  <c r="M98" i="6" s="1"/>
  <c r="N61" i="6"/>
  <c r="N98" i="6" s="1"/>
  <c r="O61" i="6"/>
  <c r="O98" i="6" s="1"/>
  <c r="P61" i="6"/>
  <c r="P98" i="6" s="1"/>
  <c r="Q61" i="6"/>
  <c r="Q98" i="6" s="1"/>
  <c r="B62" i="6"/>
  <c r="B99" i="6" s="1"/>
  <c r="C62" i="6"/>
  <c r="C99" i="6" s="1"/>
  <c r="D62" i="6"/>
  <c r="D99" i="6" s="1"/>
  <c r="E62" i="6"/>
  <c r="E99" i="6" s="1"/>
  <c r="F62" i="6"/>
  <c r="F99" i="6" s="1"/>
  <c r="G62" i="6"/>
  <c r="G99" i="6" s="1"/>
  <c r="H62" i="6"/>
  <c r="H99" i="6" s="1"/>
  <c r="I62" i="6"/>
  <c r="I99" i="6" s="1"/>
  <c r="J62" i="6"/>
  <c r="J99" i="6" s="1"/>
  <c r="K62" i="6"/>
  <c r="K99" i="6" s="1"/>
  <c r="L62" i="6"/>
  <c r="L99" i="6" s="1"/>
  <c r="M62" i="6"/>
  <c r="M99" i="6" s="1"/>
  <c r="N62" i="6"/>
  <c r="N99" i="6" s="1"/>
  <c r="O99" i="6"/>
  <c r="P62" i="6"/>
  <c r="P99" i="6" s="1"/>
  <c r="Q62" i="6"/>
  <c r="Q99" i="6" s="1"/>
  <c r="B63" i="6"/>
  <c r="B100" i="6" s="1"/>
  <c r="C63" i="6"/>
  <c r="C100" i="6" s="1"/>
  <c r="D63" i="6"/>
  <c r="D100" i="6" s="1"/>
  <c r="E63" i="6"/>
  <c r="E100" i="6" s="1"/>
  <c r="F63" i="6"/>
  <c r="F100" i="6" s="1"/>
  <c r="G63" i="6"/>
  <c r="G100" i="6" s="1"/>
  <c r="H63" i="6"/>
  <c r="H100" i="6" s="1"/>
  <c r="I63" i="6"/>
  <c r="I100" i="6" s="1"/>
  <c r="J63" i="6"/>
  <c r="J100" i="6" s="1"/>
  <c r="K63" i="6"/>
  <c r="K100" i="6" s="1"/>
  <c r="L63" i="6"/>
  <c r="L100" i="6" s="1"/>
  <c r="M63" i="6"/>
  <c r="M100" i="6" s="1"/>
  <c r="N63" i="6"/>
  <c r="N100" i="6" s="1"/>
  <c r="O63" i="6"/>
  <c r="O100" i="6" s="1"/>
  <c r="P63" i="6"/>
  <c r="P100" i="6" s="1"/>
  <c r="Q63" i="6"/>
  <c r="Q100" i="6" s="1"/>
  <c r="B64" i="6"/>
  <c r="B101" i="6" s="1"/>
  <c r="C64" i="6"/>
  <c r="C101" i="6" s="1"/>
  <c r="D64" i="6"/>
  <c r="D101" i="6" s="1"/>
  <c r="E64" i="6"/>
  <c r="E101" i="6" s="1"/>
  <c r="F64" i="6"/>
  <c r="F101" i="6" s="1"/>
  <c r="G64" i="6"/>
  <c r="G101" i="6" s="1"/>
  <c r="H64" i="6"/>
  <c r="H101" i="6" s="1"/>
  <c r="I64" i="6"/>
  <c r="I101" i="6" s="1"/>
  <c r="J64" i="6"/>
  <c r="J101" i="6" s="1"/>
  <c r="K64" i="6"/>
  <c r="K101" i="6" s="1"/>
  <c r="L64" i="6"/>
  <c r="L101" i="6" s="1"/>
  <c r="M64" i="6"/>
  <c r="M101" i="6" s="1"/>
  <c r="N64" i="6"/>
  <c r="N101" i="6" s="1"/>
  <c r="O64" i="6"/>
  <c r="O101" i="6" s="1"/>
  <c r="P64" i="6"/>
  <c r="P101" i="6" s="1"/>
  <c r="Q64" i="6"/>
  <c r="Q101" i="6" s="1"/>
  <c r="B65" i="6"/>
  <c r="B102" i="6" s="1"/>
  <c r="C65" i="6"/>
  <c r="C102" i="6" s="1"/>
  <c r="D65" i="6"/>
  <c r="D102" i="6" s="1"/>
  <c r="E65" i="6"/>
  <c r="E102" i="6" s="1"/>
  <c r="F65" i="6"/>
  <c r="F102" i="6" s="1"/>
  <c r="G65" i="6"/>
  <c r="G102" i="6" s="1"/>
  <c r="H65" i="6"/>
  <c r="H102" i="6" s="1"/>
  <c r="I65" i="6"/>
  <c r="I102" i="6" s="1"/>
  <c r="J65" i="6"/>
  <c r="J102" i="6" s="1"/>
  <c r="K65" i="6"/>
  <c r="K102" i="6" s="1"/>
  <c r="L65" i="6"/>
  <c r="L102" i="6" s="1"/>
  <c r="M65" i="6"/>
  <c r="M102" i="6" s="1"/>
  <c r="N65" i="6"/>
  <c r="N102" i="6" s="1"/>
  <c r="O65" i="6"/>
  <c r="O102" i="6" s="1"/>
  <c r="P65" i="6"/>
  <c r="P102" i="6" s="1"/>
  <c r="Q65" i="6"/>
  <c r="Q102" i="6" s="1"/>
  <c r="B66" i="6"/>
  <c r="B103" i="6" s="1"/>
  <c r="C66" i="6"/>
  <c r="C103" i="6" s="1"/>
  <c r="D66" i="6"/>
  <c r="D103" i="6" s="1"/>
  <c r="E66" i="6"/>
  <c r="E103" i="6" s="1"/>
  <c r="F66" i="6"/>
  <c r="F103" i="6" s="1"/>
  <c r="G66" i="6"/>
  <c r="G103" i="6" s="1"/>
  <c r="H66" i="6"/>
  <c r="H103" i="6" s="1"/>
  <c r="I66" i="6"/>
  <c r="I103" i="6" s="1"/>
  <c r="J66" i="6"/>
  <c r="J103" i="6" s="1"/>
  <c r="K66" i="6"/>
  <c r="K103" i="6" s="1"/>
  <c r="L66" i="6"/>
  <c r="L103" i="6" s="1"/>
  <c r="M66" i="6"/>
  <c r="M103" i="6" s="1"/>
  <c r="N66" i="6"/>
  <c r="N103" i="6" s="1"/>
  <c r="O66" i="6"/>
  <c r="O103" i="6" s="1"/>
  <c r="P66" i="6"/>
  <c r="P103" i="6" s="1"/>
  <c r="Q66" i="6"/>
  <c r="Q103" i="6" s="1"/>
  <c r="B67" i="6"/>
  <c r="B104" i="6" s="1"/>
  <c r="C67" i="6"/>
  <c r="C104" i="6" s="1"/>
  <c r="D67" i="6"/>
  <c r="D104" i="6" s="1"/>
  <c r="E67" i="6"/>
  <c r="E104" i="6" s="1"/>
  <c r="F67" i="6"/>
  <c r="F104" i="6" s="1"/>
  <c r="G67" i="6"/>
  <c r="G104" i="6" s="1"/>
  <c r="H67" i="6"/>
  <c r="H104" i="6" s="1"/>
  <c r="I67" i="6"/>
  <c r="I104" i="6" s="1"/>
  <c r="J67" i="6"/>
  <c r="J104" i="6" s="1"/>
  <c r="K67" i="6"/>
  <c r="K104" i="6" s="1"/>
  <c r="L67" i="6"/>
  <c r="L104" i="6" s="1"/>
  <c r="M67" i="6"/>
  <c r="M104" i="6" s="1"/>
  <c r="N67" i="6"/>
  <c r="N104" i="6" s="1"/>
  <c r="O67" i="6"/>
  <c r="O104" i="6" s="1"/>
  <c r="P67" i="6"/>
  <c r="P104" i="6" s="1"/>
  <c r="Q67" i="6"/>
  <c r="Q104" i="6" s="1"/>
  <c r="B68" i="6"/>
  <c r="B105" i="6" s="1"/>
  <c r="C68" i="6"/>
  <c r="C105" i="6" s="1"/>
  <c r="D68" i="6"/>
  <c r="D105" i="6" s="1"/>
  <c r="E68" i="6"/>
  <c r="E105" i="6" s="1"/>
  <c r="F68" i="6"/>
  <c r="F105" i="6" s="1"/>
  <c r="G68" i="6"/>
  <c r="G105" i="6" s="1"/>
  <c r="H68" i="6"/>
  <c r="H105" i="6" s="1"/>
  <c r="I68" i="6"/>
  <c r="I105" i="6" s="1"/>
  <c r="J68" i="6"/>
  <c r="J105" i="6" s="1"/>
  <c r="K68" i="6"/>
  <c r="K105" i="6" s="1"/>
  <c r="L68" i="6"/>
  <c r="L105" i="6" s="1"/>
  <c r="M68" i="6"/>
  <c r="M105" i="6" s="1"/>
  <c r="N68" i="6"/>
  <c r="N105" i="6" s="1"/>
  <c r="O68" i="6"/>
  <c r="O105" i="6" s="1"/>
  <c r="P68" i="6"/>
  <c r="P105" i="6" s="1"/>
  <c r="Q68" i="6"/>
  <c r="Q105" i="6" s="1"/>
  <c r="B69" i="6"/>
  <c r="B106" i="6" s="1"/>
  <c r="C69" i="6"/>
  <c r="C106" i="6" s="1"/>
  <c r="D69" i="6"/>
  <c r="D106" i="6" s="1"/>
  <c r="E69" i="6"/>
  <c r="E106" i="6" s="1"/>
  <c r="F69" i="6"/>
  <c r="F106" i="6" s="1"/>
  <c r="G69" i="6"/>
  <c r="G106" i="6" s="1"/>
  <c r="H69" i="6"/>
  <c r="H106" i="6" s="1"/>
  <c r="I69" i="6"/>
  <c r="I106" i="6" s="1"/>
  <c r="J69" i="6"/>
  <c r="J106" i="6" s="1"/>
  <c r="K69" i="6"/>
  <c r="K106" i="6" s="1"/>
  <c r="L69" i="6"/>
  <c r="L106" i="6" s="1"/>
  <c r="M69" i="6"/>
  <c r="M106" i="6" s="1"/>
  <c r="N69" i="6"/>
  <c r="N106" i="6" s="1"/>
  <c r="O69" i="6"/>
  <c r="O106" i="6" s="1"/>
  <c r="P69" i="6"/>
  <c r="P106" i="6" s="1"/>
  <c r="Q69" i="6"/>
  <c r="Q106" i="6" s="1"/>
  <c r="B70" i="6"/>
  <c r="B107" i="6" s="1"/>
  <c r="C70" i="6"/>
  <c r="C107" i="6" s="1"/>
  <c r="D70" i="6"/>
  <c r="D107" i="6" s="1"/>
  <c r="E70" i="6"/>
  <c r="E107" i="6" s="1"/>
  <c r="F70" i="6"/>
  <c r="F107" i="6" s="1"/>
  <c r="G70" i="6"/>
  <c r="G107" i="6" s="1"/>
  <c r="H70" i="6"/>
  <c r="H107" i="6" s="1"/>
  <c r="I70" i="6"/>
  <c r="I107" i="6" s="1"/>
  <c r="J70" i="6"/>
  <c r="J107" i="6" s="1"/>
  <c r="K70" i="6"/>
  <c r="K107" i="6" s="1"/>
  <c r="L70" i="6"/>
  <c r="L107" i="6" s="1"/>
  <c r="M70" i="6"/>
  <c r="M107" i="6" s="1"/>
  <c r="N70" i="6"/>
  <c r="N107" i="6" s="1"/>
  <c r="O70" i="6"/>
  <c r="O107" i="6" s="1"/>
  <c r="P70" i="6"/>
  <c r="P107" i="6" s="1"/>
  <c r="Q70" i="6"/>
  <c r="Q107" i="6" s="1"/>
  <c r="B71" i="6"/>
  <c r="B108" i="6" s="1"/>
  <c r="C71" i="6"/>
  <c r="C108" i="6" s="1"/>
  <c r="D71" i="6"/>
  <c r="D108" i="6" s="1"/>
  <c r="E71" i="6"/>
  <c r="E108" i="6" s="1"/>
  <c r="F71" i="6"/>
  <c r="F108" i="6" s="1"/>
  <c r="G71" i="6"/>
  <c r="G108" i="6" s="1"/>
  <c r="H71" i="6"/>
  <c r="H108" i="6" s="1"/>
  <c r="I71" i="6"/>
  <c r="I108" i="6" s="1"/>
  <c r="J71" i="6"/>
  <c r="J108" i="6" s="1"/>
  <c r="K71" i="6"/>
  <c r="K108" i="6" s="1"/>
  <c r="L71" i="6"/>
  <c r="L108" i="6" s="1"/>
  <c r="M71" i="6"/>
  <c r="M108" i="6" s="1"/>
  <c r="N71" i="6"/>
  <c r="N108" i="6" s="1"/>
  <c r="O71" i="6"/>
  <c r="O108" i="6" s="1"/>
  <c r="P71" i="6"/>
  <c r="P108" i="6" s="1"/>
  <c r="Q71" i="6"/>
  <c r="Q108" i="6" s="1"/>
  <c r="A42" i="6"/>
  <c r="A79" i="6" s="1"/>
  <c r="A44" i="6"/>
  <c r="A81" i="6" s="1"/>
  <c r="A45" i="6"/>
  <c r="A82" i="6" s="1"/>
  <c r="A46" i="6"/>
  <c r="A83" i="6" s="1"/>
  <c r="A47" i="6"/>
  <c r="A84" i="6" s="1"/>
  <c r="A48" i="6"/>
  <c r="A85" i="6" s="1"/>
  <c r="A49" i="6"/>
  <c r="A86" i="6" s="1"/>
  <c r="A50" i="6"/>
  <c r="A87" i="6" s="1"/>
  <c r="A51" i="6"/>
  <c r="A88" i="6" s="1"/>
  <c r="A52" i="6"/>
  <c r="A89" i="6" s="1"/>
  <c r="A53" i="6"/>
  <c r="A90" i="6" s="1"/>
  <c r="A54" i="6"/>
  <c r="A91" i="6" s="1"/>
  <c r="A55" i="6"/>
  <c r="A92" i="6" s="1"/>
  <c r="A56" i="6"/>
  <c r="A93" i="6" s="1"/>
  <c r="A57" i="6"/>
  <c r="A94" i="6" s="1"/>
  <c r="A58" i="6"/>
  <c r="A95" i="6" s="1"/>
  <c r="A59" i="6"/>
  <c r="A96" i="6" s="1"/>
  <c r="A60" i="6"/>
  <c r="A97" i="6" s="1"/>
  <c r="A61" i="6"/>
  <c r="A98" i="6" s="1"/>
  <c r="A62" i="6"/>
  <c r="A99" i="6" s="1"/>
  <c r="A63" i="6"/>
  <c r="A100" i="6" s="1"/>
  <c r="A64" i="6"/>
  <c r="A101" i="6" s="1"/>
  <c r="A65" i="6"/>
  <c r="A102" i="6" s="1"/>
  <c r="A66" i="6"/>
  <c r="A103" i="6" s="1"/>
  <c r="A67" i="6"/>
  <c r="A104" i="6" s="1"/>
  <c r="A68" i="6"/>
  <c r="A105" i="6" s="1"/>
  <c r="A69" i="6"/>
  <c r="A106" i="6" s="1"/>
  <c r="A71" i="6"/>
  <c r="A108" i="6" s="1"/>
  <c r="A77" i="6"/>
  <c r="E76" i="6"/>
  <c r="F76" i="6" s="1"/>
  <c r="G76" i="6" s="1"/>
  <c r="H76" i="6" s="1"/>
  <c r="I76" i="6" s="1"/>
  <c r="J76" i="6" s="1"/>
  <c r="K76" i="6" s="1"/>
  <c r="L76" i="6" s="1"/>
  <c r="M76" i="6" s="1"/>
  <c r="N76" i="6" s="1"/>
  <c r="O76" i="6" s="1"/>
  <c r="P76" i="6" s="1"/>
  <c r="Q76" i="6" s="1"/>
  <c r="B53" i="7"/>
  <c r="B52" i="7"/>
  <c r="B51" i="7"/>
  <c r="B50" i="7"/>
  <c r="B49" i="7"/>
  <c r="B48" i="7"/>
  <c r="B47" i="7"/>
  <c r="B46" i="7"/>
  <c r="B45" i="7"/>
  <c r="B44" i="7"/>
  <c r="B43" i="7"/>
  <c r="B42" i="7"/>
  <c r="A42" i="7"/>
  <c r="B41" i="7"/>
  <c r="A41" i="7"/>
  <c r="B40" i="7"/>
  <c r="A40" i="7"/>
  <c r="B39" i="7"/>
  <c r="A39" i="7"/>
  <c r="B38" i="7"/>
  <c r="A38" i="7"/>
  <c r="B37" i="7"/>
  <c r="D50" i="7" s="1"/>
  <c r="A37" i="7"/>
  <c r="V492" i="6" l="1"/>
  <c r="V493" i="6"/>
  <c r="W368" i="6"/>
  <c r="W2" i="6"/>
  <c r="Q109" i="6"/>
  <c r="P109" i="6"/>
  <c r="M109" i="6"/>
  <c r="L109" i="6"/>
  <c r="K109" i="6"/>
  <c r="J109" i="6"/>
  <c r="I109" i="6"/>
  <c r="H109" i="6"/>
  <c r="G109" i="6"/>
  <c r="F109" i="6"/>
  <c r="E109" i="6"/>
  <c r="D109" i="6"/>
  <c r="C109" i="6"/>
  <c r="B109" i="6"/>
  <c r="R109" i="6"/>
  <c r="A109" i="6"/>
  <c r="O109" i="6"/>
  <c r="N109" i="6"/>
  <c r="V494" i="6" l="1"/>
  <c r="V495" i="6"/>
  <c r="V496" i="6"/>
  <c r="V497" i="6"/>
  <c r="V498" i="6"/>
  <c r="V499" i="6"/>
  <c r="V500" i="6"/>
  <c r="V501" i="6"/>
  <c r="V502" i="6"/>
  <c r="V503" i="6"/>
  <c r="V504" i="6"/>
  <c r="V505" i="6"/>
  <c r="V506" i="6"/>
  <c r="V507" i="6"/>
  <c r="V508" i="6"/>
  <c r="V509" i="6"/>
  <c r="V510" i="6"/>
  <c r="V511" i="6"/>
  <c r="V512" i="6"/>
  <c r="V513" i="6"/>
  <c r="V514" i="6"/>
  <c r="V515" i="6"/>
  <c r="V516" i="6"/>
  <c r="V517" i="6"/>
  <c r="V518" i="6"/>
  <c r="V519" i="6"/>
  <c r="V520" i="6"/>
  <c r="V521" i="6"/>
  <c r="V522" i="6"/>
  <c r="V523" i="6"/>
  <c r="V524" i="6"/>
  <c r="V525" i="6"/>
  <c r="V526" i="6"/>
  <c r="V527" i="6"/>
  <c r="V528" i="6"/>
  <c r="V529" i="6"/>
  <c r="V530" i="6"/>
  <c r="V531" i="6"/>
  <c r="V532" i="6"/>
  <c r="V533" i="6"/>
  <c r="V534" i="6"/>
  <c r="V535" i="6"/>
  <c r="V536" i="6"/>
  <c r="V537" i="6"/>
  <c r="V538" i="6"/>
  <c r="V539" i="6"/>
  <c r="V540" i="6"/>
  <c r="V541" i="6"/>
  <c r="V542" i="6"/>
  <c r="V543" i="6"/>
  <c r="V544" i="6"/>
  <c r="V545" i="6"/>
  <c r="V546" i="6"/>
  <c r="V547" i="6"/>
  <c r="V548" i="6"/>
  <c r="V549" i="6"/>
  <c r="V550" i="6"/>
  <c r="V551" i="6"/>
  <c r="V552" i="6"/>
  <c r="V553" i="6"/>
  <c r="V554" i="6"/>
  <c r="V555" i="6"/>
  <c r="V556" i="6"/>
  <c r="V557" i="6"/>
  <c r="V558" i="6"/>
  <c r="V559" i="6"/>
  <c r="V560" i="6"/>
  <c r="V561" i="6"/>
  <c r="V562" i="6"/>
  <c r="V563" i="6"/>
  <c r="V564" i="6"/>
  <c r="V565" i="6"/>
  <c r="V566" i="6"/>
  <c r="V567" i="6"/>
  <c r="V568" i="6"/>
  <c r="V569" i="6"/>
  <c r="V570" i="6"/>
  <c r="V571" i="6"/>
  <c r="V572" i="6"/>
  <c r="V573" i="6"/>
  <c r="V574" i="6"/>
  <c r="V575" i="6"/>
  <c r="V576" i="6"/>
  <c r="V577" i="6"/>
</calcChain>
</file>

<file path=xl/sharedStrings.xml><?xml version="1.0" encoding="utf-8"?>
<sst xmlns="http://schemas.openxmlformats.org/spreadsheetml/2006/main" count="2053" uniqueCount="748">
  <si>
    <t>Estado</t>
  </si>
  <si>
    <t>Producto estrella</t>
  </si>
  <si>
    <t>Aguascalientes</t>
  </si>
  <si>
    <t>Chile verde</t>
  </si>
  <si>
    <t>Sorgo forrajero en verde</t>
  </si>
  <si>
    <t>Avena forrajera en verde</t>
  </si>
  <si>
    <t>Tuna</t>
  </si>
  <si>
    <t>Maiz grano</t>
  </si>
  <si>
    <t>Maiz forrajero en verde</t>
  </si>
  <si>
    <t>Brocoli</t>
  </si>
  <si>
    <t>Pastos y praderas</t>
  </si>
  <si>
    <t>Guayaba</t>
  </si>
  <si>
    <t>Tomate rojo</t>
  </si>
  <si>
    <t>Esparrago</t>
  </si>
  <si>
    <t>Tomate verde</t>
  </si>
  <si>
    <t>Baja California</t>
  </si>
  <si>
    <t>Perejil</t>
  </si>
  <si>
    <t>Pastos y praderas seco</t>
  </si>
  <si>
    <t>Algodon hueso</t>
  </si>
  <si>
    <t>Naranja</t>
  </si>
  <si>
    <t>Cebada forrajera en verde</t>
  </si>
  <si>
    <t>Cebolla</t>
  </si>
  <si>
    <t>Clavel</t>
  </si>
  <si>
    <t>Lechuga</t>
  </si>
  <si>
    <t>Baja California Sur</t>
  </si>
  <si>
    <t>Sorgo grano</t>
  </si>
  <si>
    <t>Elote</t>
  </si>
  <si>
    <t>Girasol</t>
  </si>
  <si>
    <t>Papa</t>
  </si>
  <si>
    <t>Sandia</t>
  </si>
  <si>
    <t>Chives</t>
  </si>
  <si>
    <t>Campeche</t>
  </si>
  <si>
    <t>Marañon</t>
  </si>
  <si>
    <t>Zapote</t>
  </si>
  <si>
    <t>Arroz palay</t>
  </si>
  <si>
    <t>Soya</t>
  </si>
  <si>
    <t>Calabaza semillea o chihua</t>
  </si>
  <si>
    <t>Limon</t>
  </si>
  <si>
    <t>Coahuila</t>
  </si>
  <si>
    <t>Sorgo escobero</t>
  </si>
  <si>
    <t>Nuez</t>
  </si>
  <si>
    <t>Cebada forrajera verde</t>
  </si>
  <si>
    <t>Melon</t>
  </si>
  <si>
    <t>Colima</t>
  </si>
  <si>
    <t>Mango</t>
  </si>
  <si>
    <t>Papaya</t>
  </si>
  <si>
    <t>Caña de azucar</t>
  </si>
  <si>
    <t>Copra</t>
  </si>
  <si>
    <t>Chiapas</t>
  </si>
  <si>
    <t>Café cereza</t>
  </si>
  <si>
    <t>Frijol</t>
  </si>
  <si>
    <t>Tabaco</t>
  </si>
  <si>
    <t>Chihuahua</t>
  </si>
  <si>
    <t>Avena forrajera achicalada</t>
  </si>
  <si>
    <t>Alfalfa achicalada</t>
  </si>
  <si>
    <t xml:space="preserve">Alfalfa achicalada </t>
  </si>
  <si>
    <t>Chile seco</t>
  </si>
  <si>
    <t>Trigo grano</t>
  </si>
  <si>
    <t>Ciudad de México o DF</t>
  </si>
  <si>
    <t>Capulin</t>
  </si>
  <si>
    <t>Verdolaga</t>
  </si>
  <si>
    <t xml:space="preserve">Pastos y praderas achicala </t>
  </si>
  <si>
    <t>Pera</t>
  </si>
  <si>
    <t>Arbol de navidad</t>
  </si>
  <si>
    <t>Durango</t>
  </si>
  <si>
    <t>Alfalfa verde</t>
  </si>
  <si>
    <t>Avena grano</t>
  </si>
  <si>
    <t>Guanajuato</t>
  </si>
  <si>
    <t>Garbanzo forrajero</t>
  </si>
  <si>
    <t>Col</t>
  </si>
  <si>
    <t>Fresa</t>
  </si>
  <si>
    <t>Tomate rihi</t>
  </si>
  <si>
    <t>Guerrero</t>
  </si>
  <si>
    <t>Aguacate</t>
  </si>
  <si>
    <t>Ajonjoli</t>
  </si>
  <si>
    <t>Hidalgo</t>
  </si>
  <si>
    <t>Maguey pulquero</t>
  </si>
  <si>
    <t>Manzana</t>
  </si>
  <si>
    <t>Jalisco</t>
  </si>
  <si>
    <t>Maiz forrajero seco</t>
  </si>
  <si>
    <t>Frambuesa</t>
  </si>
  <si>
    <t>Tamarindo</t>
  </si>
  <si>
    <t>Mexico</t>
  </si>
  <si>
    <t>Maíz grano</t>
  </si>
  <si>
    <t>Gladiola</t>
  </si>
  <si>
    <t>Triticale grano</t>
  </si>
  <si>
    <t>Michoacan</t>
  </si>
  <si>
    <t>Hortalizas</t>
  </si>
  <si>
    <t>Cartamo</t>
  </si>
  <si>
    <t>Pepino</t>
  </si>
  <si>
    <t>Morelos</t>
  </si>
  <si>
    <t>Haba verde</t>
  </si>
  <si>
    <t>Ejote</t>
  </si>
  <si>
    <t>Calabacita</t>
  </si>
  <si>
    <t>Nardo</t>
  </si>
  <si>
    <t>Jicama</t>
  </si>
  <si>
    <t>Nayarit</t>
  </si>
  <si>
    <t>Cafe cereza</t>
  </si>
  <si>
    <t>Jicams</t>
  </si>
  <si>
    <t>Durazno</t>
  </si>
  <si>
    <t>Nuevo Leon</t>
  </si>
  <si>
    <t>Toronja</t>
  </si>
  <si>
    <t>Oaxaca</t>
  </si>
  <si>
    <t>Puebla</t>
  </si>
  <si>
    <t>Maiz frano</t>
  </si>
  <si>
    <t>Cacahuate</t>
  </si>
  <si>
    <t>Haba grano</t>
  </si>
  <si>
    <t>Mandarina</t>
  </si>
  <si>
    <t>Terciopelo</t>
  </si>
  <si>
    <t>Queretaro</t>
  </si>
  <si>
    <t>Quintana Roo</t>
  </si>
  <si>
    <t xml:space="preserve">Maiz grano </t>
  </si>
  <si>
    <t xml:space="preserve">Chile verde </t>
  </si>
  <si>
    <t>San Luis Potosi</t>
  </si>
  <si>
    <t>Pastos y praderas achicalado</t>
  </si>
  <si>
    <t>Maiz grrano</t>
  </si>
  <si>
    <t>Semilla de caña de azucar</t>
  </si>
  <si>
    <t>Sinaloa</t>
  </si>
  <si>
    <t>Sonora</t>
  </si>
  <si>
    <t>Tabasco</t>
  </si>
  <si>
    <t>Tamaulipas</t>
  </si>
  <si>
    <t xml:space="preserve">Okra </t>
  </si>
  <si>
    <t>Tlaxcala</t>
  </si>
  <si>
    <t>Zempoalxochitl</t>
  </si>
  <si>
    <t>Veracruz</t>
  </si>
  <si>
    <t>Yucatán</t>
  </si>
  <si>
    <t xml:space="preserve">Henequen </t>
  </si>
  <si>
    <t>Zacatecas</t>
  </si>
  <si>
    <t>Cebada de grano</t>
  </si>
  <si>
    <t>Uva</t>
  </si>
  <si>
    <t>Jorge STAFF 0 mentorias obligaro</t>
  </si>
  <si>
    <t>Pronostico de productos estrella</t>
  </si>
  <si>
    <t>2022 -2023</t>
  </si>
  <si>
    <t>Jueves para pitch</t>
  </si>
  <si>
    <t xml:space="preserve">Funcion polinomica </t>
  </si>
  <si>
    <t>711.3</t>
  </si>
  <si>
    <t>509.3</t>
  </si>
  <si>
    <t xml:space="preserve"> 655.1</t>
  </si>
  <si>
    <t xml:space="preserve"> 582.2</t>
  </si>
  <si>
    <t xml:space="preserve"> 656.9</t>
  </si>
  <si>
    <t>414.9</t>
  </si>
  <si>
    <t>493.1</t>
  </si>
  <si>
    <t>257.8</t>
  </si>
  <si>
    <t>447.7</t>
  </si>
  <si>
    <t>756.</t>
  </si>
  <si>
    <t>534.7</t>
  </si>
  <si>
    <t>836.7</t>
  </si>
  <si>
    <t>574.9</t>
  </si>
  <si>
    <t>579.4</t>
  </si>
  <si>
    <t>768.7</t>
  </si>
  <si>
    <t>453.1</t>
  </si>
  <si>
    <t>498.1</t>
  </si>
  <si>
    <t xml:space="preserve"> 672.3</t>
  </si>
  <si>
    <t>2518485.3</t>
  </si>
  <si>
    <t xml:space="preserve">  357.5</t>
  </si>
  <si>
    <t xml:space="preserve">  184.6</t>
  </si>
  <si>
    <t xml:space="preserve">  110.5</t>
  </si>
  <si>
    <t xml:space="preserve">  105.5</t>
  </si>
  <si>
    <t xml:space="preserve">  261.2</t>
  </si>
  <si>
    <t xml:space="preserve">  115.4</t>
  </si>
  <si>
    <t xml:space="preserve">  297.4</t>
  </si>
  <si>
    <t xml:space="preserve">  206.8</t>
  </si>
  <si>
    <t xml:space="preserve">  150.3</t>
  </si>
  <si>
    <t>193.8</t>
  </si>
  <si>
    <t>85.1</t>
  </si>
  <si>
    <t>262.9</t>
  </si>
  <si>
    <t>219.</t>
  </si>
  <si>
    <t>131.8</t>
  </si>
  <si>
    <t>125.3</t>
  </si>
  <si>
    <t>206.1</t>
  </si>
  <si>
    <t xml:space="preserve"> 103.5</t>
  </si>
  <si>
    <t xml:space="preserve">  99.1</t>
  </si>
  <si>
    <t xml:space="preserve">  203.4</t>
  </si>
  <si>
    <t xml:space="preserve">  189.9</t>
  </si>
  <si>
    <t xml:space="preserve">  130.9</t>
  </si>
  <si>
    <t xml:space="preserve">  310.0</t>
  </si>
  <si>
    <t xml:space="preserve">  166.8</t>
  </si>
  <si>
    <t xml:space="preserve">  225.6</t>
  </si>
  <si>
    <t xml:space="preserve">  109.3</t>
  </si>
  <si>
    <t xml:space="preserve">   69.4</t>
  </si>
  <si>
    <t xml:space="preserve">  305.9</t>
  </si>
  <si>
    <t>229.</t>
  </si>
  <si>
    <t>334.7</t>
  </si>
  <si>
    <t>361.7</t>
  </si>
  <si>
    <t>200.</t>
  </si>
  <si>
    <t>174.8</t>
  </si>
  <si>
    <t>163.2</t>
  </si>
  <si>
    <t>270.6</t>
  </si>
  <si>
    <t xml:space="preserve"> 103.0</t>
  </si>
  <si>
    <t xml:space="preserve"> 173.5</t>
  </si>
  <si>
    <t>429787.45</t>
  </si>
  <si>
    <t>1225.2</t>
  </si>
  <si>
    <t>1790.4</t>
  </si>
  <si>
    <t>1533.5</t>
  </si>
  <si>
    <t>1307.1</t>
  </si>
  <si>
    <t>1560.0</t>
  </si>
  <si>
    <t>1133.5</t>
  </si>
  <si>
    <t>1425.2</t>
  </si>
  <si>
    <t>1180.9</t>
  </si>
  <si>
    <t>1141.2</t>
  </si>
  <si>
    <t>1390.1</t>
  </si>
  <si>
    <t>1326.1</t>
  </si>
  <si>
    <t>1177.</t>
  </si>
  <si>
    <t>1407.3</t>
  </si>
  <si>
    <t>1389.8</t>
  </si>
  <si>
    <t>1303.2</t>
  </si>
  <si>
    <t>1779.3</t>
  </si>
  <si>
    <t>1218.7</t>
  </si>
  <si>
    <t>858601.26</t>
  </si>
  <si>
    <t xml:space="preserve">  594.2</t>
  </si>
  <si>
    <t xml:space="preserve">  471.1</t>
  </si>
  <si>
    <t xml:space="preserve">  320.7</t>
  </si>
  <si>
    <t xml:space="preserve">  522.3</t>
  </si>
  <si>
    <t xml:space="preserve">  459.0</t>
  </si>
  <si>
    <t xml:space="preserve">  330.8</t>
  </si>
  <si>
    <t xml:space="preserve">  592.0</t>
  </si>
  <si>
    <t xml:space="preserve">  176.0</t>
  </si>
  <si>
    <t xml:space="preserve">  323.6</t>
  </si>
  <si>
    <t>443.6</t>
  </si>
  <si>
    <t>423.8</t>
  </si>
  <si>
    <t>525.</t>
  </si>
  <si>
    <t>554.8</t>
  </si>
  <si>
    <t>358.6</t>
  </si>
  <si>
    <t>396.8</t>
  </si>
  <si>
    <t>261.5</t>
  </si>
  <si>
    <t xml:space="preserve"> 227.2</t>
  </si>
  <si>
    <t xml:space="preserve"> 246.5</t>
  </si>
  <si>
    <t xml:space="preserve">  978.0</t>
  </si>
  <si>
    <t xml:space="preserve">  726.1</t>
  </si>
  <si>
    <t>1102.8</t>
  </si>
  <si>
    <t>1029.1</t>
  </si>
  <si>
    <t xml:space="preserve">  933.1</t>
  </si>
  <si>
    <t xml:space="preserve">  860.4</t>
  </si>
  <si>
    <t>1200.8</t>
  </si>
  <si>
    <t>1366.1</t>
  </si>
  <si>
    <t xml:space="preserve">  990.6</t>
  </si>
  <si>
    <t>1877.1</t>
  </si>
  <si>
    <t>1 920.</t>
  </si>
  <si>
    <t>1956.7</t>
  </si>
  <si>
    <t>1333.2</t>
  </si>
  <si>
    <t>1728.9</t>
  </si>
  <si>
    <t>1611.7</t>
  </si>
  <si>
    <t>1816.7</t>
  </si>
  <si>
    <t>1665.1</t>
  </si>
  <si>
    <t>2280.7</t>
  </si>
  <si>
    <t>3211216.55</t>
  </si>
  <si>
    <t>1713.8</t>
  </si>
  <si>
    <t>2190.7</t>
  </si>
  <si>
    <t>2354.2</t>
  </si>
  <si>
    <t>2302.6</t>
  </si>
  <si>
    <t>2354.9</t>
  </si>
  <si>
    <t>1953.1</t>
  </si>
  <si>
    <t>2730.3</t>
  </si>
  <si>
    <t>2381.6</t>
  </si>
  <si>
    <t>1885.3</t>
  </si>
  <si>
    <t>2278.6</t>
  </si>
  <si>
    <t>4056.1</t>
  </si>
  <si>
    <t>1741.1</t>
  </si>
  <si>
    <t>1614.2</t>
  </si>
  <si>
    <t>1994.</t>
  </si>
  <si>
    <t>1705.3</t>
  </si>
  <si>
    <t>1767.4</t>
  </si>
  <si>
    <t>2167.9</t>
  </si>
  <si>
    <t>1807.2</t>
  </si>
  <si>
    <t xml:space="preserve">  745.4</t>
  </si>
  <si>
    <t xml:space="preserve">  462.5</t>
  </si>
  <si>
    <t xml:space="preserve">  607.0</t>
  </si>
  <si>
    <t xml:space="preserve">  496.5</t>
  </si>
  <si>
    <t xml:space="preserve">  550.1</t>
  </si>
  <si>
    <t xml:space="preserve">  468.9</t>
  </si>
  <si>
    <t xml:space="preserve">  470.0</t>
  </si>
  <si>
    <t xml:space="preserve">  260.5</t>
  </si>
  <si>
    <t xml:space="preserve">  471.5</t>
  </si>
  <si>
    <t>618.1</t>
  </si>
  <si>
    <t>490.</t>
  </si>
  <si>
    <t>630.5</t>
  </si>
  <si>
    <t>512.5</t>
  </si>
  <si>
    <t>453.8</t>
  </si>
  <si>
    <t>490.8</t>
  </si>
  <si>
    <t>470.3</t>
  </si>
  <si>
    <t xml:space="preserve"> 260.8</t>
  </si>
  <si>
    <t xml:space="preserve"> 410.6</t>
  </si>
  <si>
    <t xml:space="preserve">  728.6</t>
  </si>
  <si>
    <t xml:space="preserve">  645.3</t>
  </si>
  <si>
    <t xml:space="preserve">  882.4</t>
  </si>
  <si>
    <t xml:space="preserve">  866.5</t>
  </si>
  <si>
    <t xml:space="preserve">  740.9</t>
  </si>
  <si>
    <t xml:space="preserve">  713.1</t>
  </si>
  <si>
    <t xml:space="preserve">  697.9</t>
  </si>
  <si>
    <t xml:space="preserve">  782.6</t>
  </si>
  <si>
    <t xml:space="preserve">  568.9</t>
  </si>
  <si>
    <t>697.8</t>
  </si>
  <si>
    <t>615.6</t>
  </si>
  <si>
    <t>491.8</t>
  </si>
  <si>
    <t>655.9</t>
  </si>
  <si>
    <t>488.</t>
  </si>
  <si>
    <t>786.2</t>
  </si>
  <si>
    <t>565.3</t>
  </si>
  <si>
    <t xml:space="preserve"> 469.7</t>
  </si>
  <si>
    <t xml:space="preserve"> 637.1</t>
  </si>
  <si>
    <t xml:space="preserve">  644.7</t>
  </si>
  <si>
    <t xml:space="preserve">  373.8</t>
  </si>
  <si>
    <t xml:space="preserve">  581.9</t>
  </si>
  <si>
    <t xml:space="preserve">  429.6</t>
  </si>
  <si>
    <t xml:space="preserve">  642.6</t>
  </si>
  <si>
    <t xml:space="preserve">  519.4</t>
  </si>
  <si>
    <t xml:space="preserve">  559.3</t>
  </si>
  <si>
    <t xml:space="preserve">  245.6</t>
  </si>
  <si>
    <t xml:space="preserve">  406.3</t>
  </si>
  <si>
    <t>516.8</t>
  </si>
  <si>
    <t>496.6</t>
  </si>
  <si>
    <t>627.1</t>
  </si>
  <si>
    <t>509.8</t>
  </si>
  <si>
    <t>454.6</t>
  </si>
  <si>
    <t>520.5</t>
  </si>
  <si>
    <t>428.8</t>
  </si>
  <si>
    <t xml:space="preserve"> 390.4</t>
  </si>
  <si>
    <t xml:space="preserve"> 469.9</t>
  </si>
  <si>
    <t xml:space="preserve">  877.9</t>
  </si>
  <si>
    <t xml:space="preserve">  510.0</t>
  </si>
  <si>
    <t xml:space="preserve">  779.9</t>
  </si>
  <si>
    <t xml:space="preserve">  798.7</t>
  </si>
  <si>
    <t xml:space="preserve">  732.8</t>
  </si>
  <si>
    <t xml:space="preserve">  623.2</t>
  </si>
  <si>
    <t xml:space="preserve">  797.7</t>
  </si>
  <si>
    <t xml:space="preserve">  378.7</t>
  </si>
  <si>
    <t xml:space="preserve">  573.3</t>
  </si>
  <si>
    <t>762.1</t>
  </si>
  <si>
    <t>679.</t>
  </si>
  <si>
    <t>840.8</t>
  </si>
  <si>
    <t>691.3</t>
  </si>
  <si>
    <t>611.5</t>
  </si>
  <si>
    <t>850.3</t>
  </si>
  <si>
    <t>553.7</t>
  </si>
  <si>
    <t xml:space="preserve"> 475.5</t>
  </si>
  <si>
    <t xml:space="preserve"> 780.3</t>
  </si>
  <si>
    <t>8226710.19</t>
  </si>
  <si>
    <t>1144.2</t>
  </si>
  <si>
    <t>1108.1</t>
  </si>
  <si>
    <t>1294.7</t>
  </si>
  <si>
    <t>1193.2</t>
  </si>
  <si>
    <t>1272.4</t>
  </si>
  <si>
    <t xml:space="preserve">  991.1</t>
  </si>
  <si>
    <t>1521.0</t>
  </si>
  <si>
    <t>1194.4</t>
  </si>
  <si>
    <t xml:space="preserve">  961.5</t>
  </si>
  <si>
    <t>1270.6</t>
  </si>
  <si>
    <t>1223.9</t>
  </si>
  <si>
    <t>1003.3</t>
  </si>
  <si>
    <t>985.5</t>
  </si>
  <si>
    <t>1161.1</t>
  </si>
  <si>
    <t>1159.0</t>
  </si>
  <si>
    <t>1102.1</t>
  </si>
  <si>
    <t xml:space="preserve"> 928.0</t>
  </si>
  <si>
    <t>1278.2</t>
  </si>
  <si>
    <t xml:space="preserve">  629.4</t>
  </si>
  <si>
    <t xml:space="preserve">  694.9</t>
  </si>
  <si>
    <t xml:space="preserve">  695.1</t>
  </si>
  <si>
    <t xml:space="preserve">  891.2</t>
  </si>
  <si>
    <t xml:space="preserve">  803.5</t>
  </si>
  <si>
    <t xml:space="preserve">  790.4</t>
  </si>
  <si>
    <t xml:space="preserve">  938.7</t>
  </si>
  <si>
    <t xml:space="preserve">  705.1</t>
  </si>
  <si>
    <t xml:space="preserve">  652.4</t>
  </si>
  <si>
    <t>796.8</t>
  </si>
  <si>
    <t>754.8</t>
  </si>
  <si>
    <t>681 4</t>
  </si>
  <si>
    <t>694.3</t>
  </si>
  <si>
    <t>653.2</t>
  </si>
  <si>
    <t>574.</t>
  </si>
  <si>
    <t>438.8</t>
  </si>
  <si>
    <t xml:space="preserve"> 501.5</t>
  </si>
  <si>
    <t xml:space="preserve"> 632.4</t>
  </si>
  <si>
    <t>1049.5</t>
  </si>
  <si>
    <t xml:space="preserve">  664.0</t>
  </si>
  <si>
    <t xml:space="preserve">  891.5</t>
  </si>
  <si>
    <t xml:space="preserve">  836.5</t>
  </si>
  <si>
    <t xml:space="preserve">  868.8</t>
  </si>
  <si>
    <t xml:space="preserve">  703.7</t>
  </si>
  <si>
    <t xml:space="preserve">  940.3</t>
  </si>
  <si>
    <t xml:space="preserve">  602.3</t>
  </si>
  <si>
    <t xml:space="preserve">  669.1</t>
  </si>
  <si>
    <t>1062.8</t>
  </si>
  <si>
    <t>981.5</t>
  </si>
  <si>
    <t>1145.8</t>
  </si>
  <si>
    <t>926.2</t>
  </si>
  <si>
    <t>946.1</t>
  </si>
  <si>
    <t>1075.9</t>
  </si>
  <si>
    <t>926.4</t>
  </si>
  <si>
    <t xml:space="preserve"> 874.2</t>
  </si>
  <si>
    <t>1106.4</t>
  </si>
  <si>
    <t xml:space="preserve">  751.1</t>
  </si>
  <si>
    <t xml:space="preserve">  549.1</t>
  </si>
  <si>
    <t xml:space="preserve">  719.1</t>
  </si>
  <si>
    <t xml:space="preserve">  876.3</t>
  </si>
  <si>
    <t xml:space="preserve">  679.6</t>
  </si>
  <si>
    <t xml:space="preserve">  725.7</t>
  </si>
  <si>
    <t xml:space="preserve">  809.7</t>
  </si>
  <si>
    <t xml:space="preserve">  657.6</t>
  </si>
  <si>
    <t xml:space="preserve">  628.5</t>
  </si>
  <si>
    <t>842.9</t>
  </si>
  <si>
    <t>884.7</t>
  </si>
  <si>
    <t>858.5</t>
  </si>
  <si>
    <t>915.</t>
  </si>
  <si>
    <t>865.3</t>
  </si>
  <si>
    <t>1098.7</t>
  </si>
  <si>
    <t>837.6</t>
  </si>
  <si>
    <t xml:space="preserve"> 758.9</t>
  </si>
  <si>
    <t xml:space="preserve"> 933.8</t>
  </si>
  <si>
    <t xml:space="preserve">  916.7</t>
  </si>
  <si>
    <t xml:space="preserve">  689.2</t>
  </si>
  <si>
    <t xml:space="preserve">  890.0</t>
  </si>
  <si>
    <t xml:space="preserve">  824.0</t>
  </si>
  <si>
    <t xml:space="preserve">  824.7</t>
  </si>
  <si>
    <t xml:space="preserve">  765.6</t>
  </si>
  <si>
    <t>1086.3</t>
  </si>
  <si>
    <t xml:space="preserve">  689.8</t>
  </si>
  <si>
    <t xml:space="preserve">  754.8</t>
  </si>
  <si>
    <t>1075.3</t>
  </si>
  <si>
    <t>885.1</t>
  </si>
  <si>
    <t>996.6</t>
  </si>
  <si>
    <t>722.</t>
  </si>
  <si>
    <t>792.8</t>
  </si>
  <si>
    <t>1114.1</t>
  </si>
  <si>
    <t>829.7</t>
  </si>
  <si>
    <t xml:space="preserve"> 703.0</t>
  </si>
  <si>
    <t xml:space="preserve"> 974.1</t>
  </si>
  <si>
    <t>1207.6</t>
  </si>
  <si>
    <t xml:space="preserve">  714.2</t>
  </si>
  <si>
    <t xml:space="preserve">  887.2</t>
  </si>
  <si>
    <t xml:space="preserve">  773.6</t>
  </si>
  <si>
    <t>1022.7</t>
  </si>
  <si>
    <t>1031.6</t>
  </si>
  <si>
    <t>1206.9</t>
  </si>
  <si>
    <t xml:space="preserve">  967.6</t>
  </si>
  <si>
    <t xml:space="preserve">  840.4</t>
  </si>
  <si>
    <t>1777.8</t>
  </si>
  <si>
    <t>1327.0</t>
  </si>
  <si>
    <t>1781.6</t>
  </si>
  <si>
    <t>1949.5</t>
  </si>
  <si>
    <t>1963.7</t>
  </si>
  <si>
    <t>1691.3</t>
  </si>
  <si>
    <t>1507.5</t>
  </si>
  <si>
    <t>1795.1</t>
  </si>
  <si>
    <t>3179028.71</t>
  </si>
  <si>
    <t>1435.1</t>
  </si>
  <si>
    <t>1215.5</t>
  </si>
  <si>
    <t>1002.0</t>
  </si>
  <si>
    <t>1055.0</t>
  </si>
  <si>
    <t>1550.6</t>
  </si>
  <si>
    <t>1281.2</t>
  </si>
  <si>
    <t>1649.8</t>
  </si>
  <si>
    <t>1129.2</t>
  </si>
  <si>
    <t>1060.1</t>
  </si>
  <si>
    <t>1293.1</t>
  </si>
  <si>
    <t>1443.0</t>
  </si>
  <si>
    <t>1224.4</t>
  </si>
  <si>
    <t>1228.2</t>
  </si>
  <si>
    <t>1356.</t>
  </si>
  <si>
    <t>1225.3</t>
  </si>
  <si>
    <t>1140.5</t>
  </si>
  <si>
    <t>1393.1</t>
  </si>
  <si>
    <t>5012711.1</t>
  </si>
  <si>
    <t xml:space="preserve">  830.2</t>
  </si>
  <si>
    <t xml:space="preserve">  919.2</t>
  </si>
  <si>
    <t xml:space="preserve">  614.3</t>
  </si>
  <si>
    <t xml:space="preserve">  698.5</t>
  </si>
  <si>
    <t xml:space="preserve">  824.1</t>
  </si>
  <si>
    <t xml:space="preserve">  483.1</t>
  </si>
  <si>
    <t>1231.2</t>
  </si>
  <si>
    <t xml:space="preserve">  370.8</t>
  </si>
  <si>
    <t xml:space="preserve">  562.4</t>
  </si>
  <si>
    <t>756.5</t>
  </si>
  <si>
    <t>683 4</t>
  </si>
  <si>
    <t>682.1</t>
  </si>
  <si>
    <t>612.2</t>
  </si>
  <si>
    <t>570.</t>
  </si>
  <si>
    <t>585.2</t>
  </si>
  <si>
    <t>499.2</t>
  </si>
  <si>
    <t xml:space="preserve"> 525.5</t>
  </si>
  <si>
    <t xml:space="preserve"> 497.7</t>
  </si>
  <si>
    <t>1340.7</t>
  </si>
  <si>
    <t>1618.3</t>
  </si>
  <si>
    <t>1270.2</t>
  </si>
  <si>
    <t>1155.2</t>
  </si>
  <si>
    <t>1710.3</t>
  </si>
  <si>
    <t>1267.7</t>
  </si>
  <si>
    <t>1940.1</t>
  </si>
  <si>
    <t>1388.6</t>
  </si>
  <si>
    <t>1360.0</t>
  </si>
  <si>
    <t>1237.6</t>
  </si>
  <si>
    <t>1185.5</t>
  </si>
  <si>
    <t>1002.4</t>
  </si>
  <si>
    <t>993.2</t>
  </si>
  <si>
    <t>1440.8</t>
  </si>
  <si>
    <t>1217.1</t>
  </si>
  <si>
    <t>1089.4</t>
  </si>
  <si>
    <t>1125.6</t>
  </si>
  <si>
    <t>1236.8</t>
  </si>
  <si>
    <t>13662122.3</t>
  </si>
  <si>
    <t>1302.3</t>
  </si>
  <si>
    <t>1253.9</t>
  </si>
  <si>
    <t>1221.8</t>
  </si>
  <si>
    <t>1410.1</t>
  </si>
  <si>
    <t>1395.9</t>
  </si>
  <si>
    <t>1236.3</t>
  </si>
  <si>
    <t>1365.1</t>
  </si>
  <si>
    <t>1280.0</t>
  </si>
  <si>
    <t>1390.5</t>
  </si>
  <si>
    <t>1390.</t>
  </si>
  <si>
    <t>1303.</t>
  </si>
  <si>
    <t>1185.1</t>
  </si>
  <si>
    <t>1195.8</t>
  </si>
  <si>
    <t>1402.3</t>
  </si>
  <si>
    <t>1247.7</t>
  </si>
  <si>
    <t>1040.8</t>
  </si>
  <si>
    <t>1104.4</t>
  </si>
  <si>
    <t>1252.5</t>
  </si>
  <si>
    <t xml:space="preserve">  435.0</t>
  </si>
  <si>
    <t xml:space="preserve">  590.2</t>
  </si>
  <si>
    <t xml:space="preserve">  639.2</t>
  </si>
  <si>
    <t xml:space="preserve">  641.7</t>
  </si>
  <si>
    <t xml:space="preserve">  490.0</t>
  </si>
  <si>
    <t xml:space="preserve">  717.1</t>
  </si>
  <si>
    <t xml:space="preserve">  372.3</t>
  </si>
  <si>
    <t xml:space="preserve">  589.9</t>
  </si>
  <si>
    <t>780.</t>
  </si>
  <si>
    <t>773.1</t>
  </si>
  <si>
    <t>756.6</t>
  </si>
  <si>
    <t>749.8</t>
  </si>
  <si>
    <t>592.7</t>
  </si>
  <si>
    <t>554.1</t>
  </si>
  <si>
    <t>411.3</t>
  </si>
  <si>
    <t xml:space="preserve"> 407.0</t>
  </si>
  <si>
    <t xml:space="preserve"> 648.3</t>
  </si>
  <si>
    <t>1248778.48</t>
  </si>
  <si>
    <t>1087.2</t>
  </si>
  <si>
    <t>1456.5</t>
  </si>
  <si>
    <t>1131.9</t>
  </si>
  <si>
    <t>1093.3</t>
  </si>
  <si>
    <t>1209.9</t>
  </si>
  <si>
    <t>1100.8</t>
  </si>
  <si>
    <t>1503.8</t>
  </si>
  <si>
    <t>1476.3</t>
  </si>
  <si>
    <t>1338.1</t>
  </si>
  <si>
    <t>1358.3</t>
  </si>
  <si>
    <t>1495.5</t>
  </si>
  <si>
    <t>1109.3</t>
  </si>
  <si>
    <t>1406.8</t>
  </si>
  <si>
    <t>1306.1</t>
  </si>
  <si>
    <t>1036.1</t>
  </si>
  <si>
    <t>1870.7</t>
  </si>
  <si>
    <t>1303.7</t>
  </si>
  <si>
    <t xml:space="preserve">  810.7</t>
  </si>
  <si>
    <t xml:space="preserve">  808.4</t>
  </si>
  <si>
    <t xml:space="preserve">  720.0</t>
  </si>
  <si>
    <t>1222.7</t>
  </si>
  <si>
    <t>1375.3</t>
  </si>
  <si>
    <t xml:space="preserve">  951.0</t>
  </si>
  <si>
    <t xml:space="preserve">  922.3</t>
  </si>
  <si>
    <t xml:space="preserve">  974.5</t>
  </si>
  <si>
    <t>875.5</t>
  </si>
  <si>
    <t>808.3</t>
  </si>
  <si>
    <t>794.1</t>
  </si>
  <si>
    <t>685.1</t>
  </si>
  <si>
    <t>617.6</t>
  </si>
  <si>
    <t>635.4</t>
  </si>
  <si>
    <t>480.8</t>
  </si>
  <si>
    <t xml:space="preserve"> 446.3</t>
  </si>
  <si>
    <t xml:space="preserve"> 615.0</t>
  </si>
  <si>
    <t xml:space="preserve">  872.1</t>
  </si>
  <si>
    <t xml:space="preserve">  535.6</t>
  </si>
  <si>
    <t xml:space="preserve">  731.8</t>
  </si>
  <si>
    <t xml:space="preserve">  638.6</t>
  </si>
  <si>
    <t xml:space="preserve">  737.9</t>
  </si>
  <si>
    <t xml:space="preserve">  662.6</t>
  </si>
  <si>
    <t xml:space="preserve">  596.4</t>
  </si>
  <si>
    <t xml:space="preserve">  595.3</t>
  </si>
  <si>
    <t xml:space="preserve">  697.2</t>
  </si>
  <si>
    <t>846.</t>
  </si>
  <si>
    <t>876.1</t>
  </si>
  <si>
    <t>1048.6</t>
  </si>
  <si>
    <t>730.4</t>
  </si>
  <si>
    <t>698.8</t>
  </si>
  <si>
    <t>1001.3</t>
  </si>
  <si>
    <t>928.2</t>
  </si>
  <si>
    <t xml:space="preserve"> 653.4</t>
  </si>
  <si>
    <t xml:space="preserve"> 952.9</t>
  </si>
  <si>
    <t xml:space="preserve">  573.7</t>
  </si>
  <si>
    <t xml:space="preserve">  298.7</t>
  </si>
  <si>
    <t xml:space="preserve">  358.9</t>
  </si>
  <si>
    <t xml:space="preserve">  444.5</t>
  </si>
  <si>
    <t xml:space="preserve">  457.8</t>
  </si>
  <si>
    <t xml:space="preserve">  444.9</t>
  </si>
  <si>
    <t xml:space="preserve">  453.0</t>
  </si>
  <si>
    <t xml:space="preserve">  360.1</t>
  </si>
  <si>
    <t xml:space="preserve">  382.1</t>
  </si>
  <si>
    <t>446.</t>
  </si>
  <si>
    <t>480.5</t>
  </si>
  <si>
    <t>643.5</t>
  </si>
  <si>
    <t>424.4</t>
  </si>
  <si>
    <t>450.6</t>
  </si>
  <si>
    <t>565.9</t>
  </si>
  <si>
    <t>648.7</t>
  </si>
  <si>
    <t xml:space="preserve"> 343.0</t>
  </si>
  <si>
    <t xml:space="preserve"> 502.7</t>
  </si>
  <si>
    <t>1964.1</t>
  </si>
  <si>
    <t>2036.0</t>
  </si>
  <si>
    <t>2676.2</t>
  </si>
  <si>
    <t>2554.1</t>
  </si>
  <si>
    <t>2617.3</t>
  </si>
  <si>
    <t>1730.5</t>
  </si>
  <si>
    <t>2561.9</t>
  </si>
  <si>
    <t>2496.5</t>
  </si>
  <si>
    <t>2069.7</t>
  </si>
  <si>
    <t>2811.9</t>
  </si>
  <si>
    <t>2426.3</t>
  </si>
  <si>
    <t>1749.7</t>
  </si>
  <si>
    <t>2 013.9</t>
  </si>
  <si>
    <t>1965.5</t>
  </si>
  <si>
    <t>1916.0</t>
  </si>
  <si>
    <t>3017.9</t>
  </si>
  <si>
    <t>1836.1</t>
  </si>
  <si>
    <t xml:space="preserve">  772.9</t>
  </si>
  <si>
    <t xml:space="preserve">  738.8</t>
  </si>
  <si>
    <t xml:space="preserve">  670.2</t>
  </si>
  <si>
    <t>1047.0</t>
  </si>
  <si>
    <t xml:space="preserve">  627.6</t>
  </si>
  <si>
    <t>1011.2</t>
  </si>
  <si>
    <t xml:space="preserve">  603.3</t>
  </si>
  <si>
    <t xml:space="preserve">  727.3</t>
  </si>
  <si>
    <t>1090.6</t>
  </si>
  <si>
    <t>955.</t>
  </si>
  <si>
    <t>891.7</t>
  </si>
  <si>
    <t>746.7</t>
  </si>
  <si>
    <t>666.7</t>
  </si>
  <si>
    <t>678.0</t>
  </si>
  <si>
    <t>579.1</t>
  </si>
  <si>
    <t xml:space="preserve"> 631.1</t>
  </si>
  <si>
    <t xml:space="preserve"> 740.2</t>
  </si>
  <si>
    <t>8055894.07</t>
  </si>
  <si>
    <t xml:space="preserve">  706.4</t>
  </si>
  <si>
    <t xml:space="preserve">  677.4</t>
  </si>
  <si>
    <t xml:space="preserve">  876.0</t>
  </si>
  <si>
    <t xml:space="preserve">  677.2</t>
  </si>
  <si>
    <t xml:space="preserve">  679.8</t>
  </si>
  <si>
    <t xml:space="preserve">  667.4</t>
  </si>
  <si>
    <t xml:space="preserve">  829.1</t>
  </si>
  <si>
    <t xml:space="preserve">  723.3</t>
  </si>
  <si>
    <t xml:space="preserve">  849.1</t>
  </si>
  <si>
    <t>823.8</t>
  </si>
  <si>
    <t>885.</t>
  </si>
  <si>
    <t>800.1</t>
  </si>
  <si>
    <t>750.9</t>
  </si>
  <si>
    <t>690.2</t>
  </si>
  <si>
    <t>662.0</t>
  </si>
  <si>
    <t>564.2</t>
  </si>
  <si>
    <t xml:space="preserve"> 538.4</t>
  </si>
  <si>
    <t xml:space="preserve"> 710.0</t>
  </si>
  <si>
    <t>1483.0</t>
  </si>
  <si>
    <t>1830.1</t>
  </si>
  <si>
    <t>1654.2</t>
  </si>
  <si>
    <t>1502.6</t>
  </si>
  <si>
    <t>1573.9</t>
  </si>
  <si>
    <t>1470.3</t>
  </si>
  <si>
    <t>1791.1</t>
  </si>
  <si>
    <t>1553.5</t>
  </si>
  <si>
    <t>1695.9</t>
  </si>
  <si>
    <t>1852.4</t>
  </si>
  <si>
    <t>1537.3</t>
  </si>
  <si>
    <t>1488.9</t>
  </si>
  <si>
    <t>1533.8</t>
  </si>
  <si>
    <t>1730.9</t>
  </si>
  <si>
    <t>1516.1</t>
  </si>
  <si>
    <t>1107.6</t>
  </si>
  <si>
    <t>1548.6</t>
  </si>
  <si>
    <t>1501.2</t>
  </si>
  <si>
    <t>1038.9</t>
  </si>
  <si>
    <t>1107.5</t>
  </si>
  <si>
    <t xml:space="preserve">  991.4</t>
  </si>
  <si>
    <t xml:space="preserve">  899.3</t>
  </si>
  <si>
    <t xml:space="preserve">  736.3</t>
  </si>
  <si>
    <t>1071.6</t>
  </si>
  <si>
    <t xml:space="preserve">  972.8</t>
  </si>
  <si>
    <t xml:space="preserve">  948.2</t>
  </si>
  <si>
    <t>1418.</t>
  </si>
  <si>
    <t>1148.1</t>
  </si>
  <si>
    <t>978 4</t>
  </si>
  <si>
    <t>885.2</t>
  </si>
  <si>
    <t>1120.5</t>
  </si>
  <si>
    <t>998.7</t>
  </si>
  <si>
    <t>1034.2</t>
  </si>
  <si>
    <t>1802.2</t>
  </si>
  <si>
    <t>1172.6</t>
  </si>
  <si>
    <t>5096405.15</t>
  </si>
  <si>
    <t xml:space="preserve">  688.8</t>
  </si>
  <si>
    <t xml:space="preserve">  414.5</t>
  </si>
  <si>
    <t xml:space="preserve">  455.4</t>
  </si>
  <si>
    <t xml:space="preserve">  440.1</t>
  </si>
  <si>
    <t xml:space="preserve">  580.4</t>
  </si>
  <si>
    <t xml:space="preserve">  487.6</t>
  </si>
  <si>
    <t xml:space="preserve">  509.0</t>
  </si>
  <si>
    <t xml:space="preserve">  314.5</t>
  </si>
  <si>
    <t xml:space="preserve">  430.8</t>
  </si>
  <si>
    <t>631.</t>
  </si>
  <si>
    <t>534 4</t>
  </si>
  <si>
    <t>741.6</t>
  </si>
  <si>
    <t>510.2</t>
  </si>
  <si>
    <t>467.2</t>
  </si>
  <si>
    <t>614.5</t>
  </si>
  <si>
    <t>415.3</t>
  </si>
  <si>
    <t xml:space="preserve"> 406.3</t>
  </si>
  <si>
    <t xml:space="preserve"> 532.9</t>
  </si>
  <si>
    <t xml:space="preserve">  872.2</t>
  </si>
  <si>
    <t xml:space="preserve">  788.1</t>
  </si>
  <si>
    <t xml:space="preserve">  808.0</t>
  </si>
  <si>
    <t xml:space="preserve">  812.2</t>
  </si>
  <si>
    <t xml:space="preserve">  900.7</t>
  </si>
  <si>
    <t xml:space="preserve">  723.4</t>
  </si>
  <si>
    <t xml:space="preserve">  962.1</t>
  </si>
  <si>
    <t xml:space="preserve">  742.3</t>
  </si>
  <si>
    <t>920.5</t>
  </si>
  <si>
    <t>830.8</t>
  </si>
  <si>
    <t>872.</t>
  </si>
  <si>
    <t>744.</t>
  </si>
  <si>
    <t>803.7</t>
  </si>
  <si>
    <t>718.3</t>
  </si>
  <si>
    <t xml:space="preserve"> 722.5</t>
  </si>
  <si>
    <t xml:space="preserve"> 769.5</t>
  </si>
  <si>
    <t xml:space="preserve"> </t>
  </si>
  <si>
    <t>Quitando los puntos decimales por comas para que pueda trabajarlo Excel</t>
  </si>
  <si>
    <t>5328911.85</t>
  </si>
  <si>
    <t>5086049.28</t>
  </si>
  <si>
    <t>411339.12</t>
  </si>
  <si>
    <t>4948597.15</t>
  </si>
  <si>
    <t>4227105.78</t>
  </si>
  <si>
    <t>6688395.94</t>
  </si>
  <si>
    <t>3038711.43</t>
  </si>
  <si>
    <t>2659037.08</t>
  </si>
  <si>
    <t>1155038.19</t>
  </si>
  <si>
    <t>3716354.0</t>
  </si>
  <si>
    <t>2829895.76</t>
  </si>
  <si>
    <t>25732730.83</t>
  </si>
  <si>
    <t>Quitando las comas de los miles</t>
  </si>
  <si>
    <t>2005</t>
  </si>
  <si>
    <t>2006</t>
  </si>
  <si>
    <t>2007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</si>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</sst>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u/>
      <sz val="10"/>
      <color theme="10"/>
      <name val="Arial"/>
      <scheme val="minor"/>
    </font>
    <font>
      <sz val="11"/>
      <color rgb="FF404041"/>
      <name val="Arial"/>
    </font>
    <font>
      <b/>
      <sz val="10"/>
      <color rgb="FF000000"/>
      <name val="Arial"/>
      <family val="2"/>
      <scheme val="minor"/>
    </font>
    <font>
      <sz val="11"/>
      <color rgb="FFD5D5D5"/>
      <name val="Courier New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/>
    <xf numFmtId="2" fontId="0" fillId="0" borderId="0" xfId="0" applyNumberFormat="1"/>
    <xf numFmtId="0" fontId="4" fillId="0" borderId="0" xfId="0" applyFont="1"/>
    <xf numFmtId="49" fontId="0" fillId="0" borderId="0" xfId="0" applyNumberFormat="1"/>
    <xf numFmtId="0" fontId="0" fillId="2" borderId="0" xfId="0" applyFill="1"/>
    <xf numFmtId="2" fontId="0" fillId="0" borderId="0" xfId="0" applyNumberFormat="1" applyAlignment="1">
      <alignment horizontal="right"/>
    </xf>
    <xf numFmtId="49" fontId="5" fillId="0" borderId="0" xfId="0" applyNumberFormat="1" applyFont="1"/>
    <xf numFmtId="49" fontId="3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1" fillId="0" borderId="0" xfId="0" applyFont="1" applyFill="1"/>
    <xf numFmtId="0" fontId="0" fillId="0" borderId="0" xfId="0" applyFill="1"/>
    <xf numFmtId="0" fontId="0" fillId="0" borderId="0" xfId="0" applyFill="1" applyAlignment="1">
      <alignment horizontal="left"/>
    </xf>
    <xf numFmtId="0" fontId="3" fillId="0" borderId="0" xfId="0" applyFont="1" applyFill="1"/>
  </cellXfs>
  <cellStyles count="2">
    <cellStyle name="Hyperlink" xfId="1" xr:uid="{00000000-000B-0000-0000-000008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poly"/>
            <c:order val="2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CO"/>
                </a:p>
              </c:txPr>
            </c:trendlineLbl>
          </c:trendline>
          <c:xVal>
            <c:numRef>
              <c:f>producción!$A$39:$A$42</c:f>
              <c:numCache>
                <c:formatCode>General</c:formatCode>
                <c:ptCount val="4"/>
              </c:numCache>
            </c:numRef>
          </c:xVal>
          <c:yVal>
            <c:numRef>
              <c:f>producción!$C$37:$C$42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FE-4C40-8CF3-DF5081D38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83456"/>
        <c:axId val="4657680"/>
      </c:scatterChart>
      <c:valAx>
        <c:axId val="473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O"/>
          </a:p>
        </c:txPr>
        <c:crossAx val="4657680"/>
        <c:crosses val="autoZero"/>
        <c:crossBetween val="midCat"/>
      </c:valAx>
      <c:valAx>
        <c:axId val="465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O"/>
          </a:p>
        </c:txPr>
        <c:crossAx val="473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1666686</xdr:colOff>
      <xdr:row>35</xdr:row>
      <xdr:rowOff>105166</xdr:rowOff>
    </xdr:from>
    <xdr:to>
      <xdr:col>7</xdr:col>
      <xdr:colOff>1507644</xdr:colOff>
      <xdr:row>49</xdr:row>
      <xdr:rowOff>179015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F6CDBE-DCF2-FA4C-8A17-AA2B3165D4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8BF75-FD64-0246-B2AF-7AC05A08650C}">
  <dimension ref="A1:AK57"/>
  <sheetViews>
    <sheetView workbookViewId="0"/>
  </sheetViews>
  <sheetFormatPr baseColWidth="10" defaultColWidth="11.5" defaultRowHeight="13" x14ac:dyDescent="0.15"/>
  <sheetData>
    <row r="1" spans="1:37" x14ac:dyDescent="0.15">
      <c r="A1" s="1" t="s">
        <v>0</v>
      </c>
      <c r="B1" s="1" t="s">
        <v>1</v>
      </c>
      <c r="C1" s="1">
        <v>2004</v>
      </c>
      <c r="D1" s="1" t="s">
        <v>1</v>
      </c>
      <c r="E1">
        <v>2005</v>
      </c>
      <c r="F1" s="1" t="s">
        <v>1</v>
      </c>
      <c r="G1">
        <v>2006</v>
      </c>
      <c r="H1" t="s">
        <v>1</v>
      </c>
      <c r="I1">
        <v>2007</v>
      </c>
      <c r="J1" t="s">
        <v>1</v>
      </c>
      <c r="K1">
        <v>2008</v>
      </c>
      <c r="L1" t="s">
        <v>1</v>
      </c>
      <c r="M1">
        <v>2009</v>
      </c>
      <c r="N1" t="s">
        <v>1</v>
      </c>
      <c r="O1">
        <v>2010</v>
      </c>
      <c r="P1" t="s">
        <v>1</v>
      </c>
      <c r="Q1">
        <v>2011</v>
      </c>
      <c r="R1" t="s">
        <v>1</v>
      </c>
      <c r="S1">
        <v>2012</v>
      </c>
      <c r="T1" t="s">
        <v>1</v>
      </c>
      <c r="U1">
        <v>2013</v>
      </c>
      <c r="V1" t="s">
        <v>1</v>
      </c>
      <c r="W1">
        <v>2014</v>
      </c>
      <c r="X1" t="s">
        <v>1</v>
      </c>
      <c r="Y1">
        <v>2015</v>
      </c>
      <c r="Z1" t="s">
        <v>1</v>
      </c>
      <c r="AA1">
        <v>2016</v>
      </c>
      <c r="AB1" t="s">
        <v>1</v>
      </c>
      <c r="AC1">
        <v>2017</v>
      </c>
      <c r="AD1" s="1" t="s">
        <v>1</v>
      </c>
      <c r="AE1" s="1">
        <v>2018</v>
      </c>
      <c r="AF1" s="1" t="s">
        <v>1</v>
      </c>
      <c r="AG1" s="1">
        <v>2019</v>
      </c>
      <c r="AH1" t="s">
        <v>1</v>
      </c>
      <c r="AI1">
        <v>2020</v>
      </c>
      <c r="AJ1" t="s">
        <v>1</v>
      </c>
      <c r="AK1">
        <v>2021</v>
      </c>
    </row>
    <row r="2" spans="1:37" x14ac:dyDescent="0.15">
      <c r="A2" t="s">
        <v>2</v>
      </c>
      <c r="B2" t="s">
        <v>3</v>
      </c>
      <c r="C2">
        <v>99</v>
      </c>
      <c r="D2" t="s">
        <v>4</v>
      </c>
      <c r="E2">
        <v>95</v>
      </c>
      <c r="F2" t="s">
        <v>5</v>
      </c>
      <c r="G2">
        <v>99</v>
      </c>
      <c r="H2" t="s">
        <v>6</v>
      </c>
      <c r="I2">
        <v>99</v>
      </c>
      <c r="J2" t="s">
        <v>7</v>
      </c>
      <c r="K2">
        <v>9809</v>
      </c>
      <c r="L2" t="s">
        <v>8</v>
      </c>
      <c r="M2">
        <v>982</v>
      </c>
      <c r="N2" t="s">
        <v>7</v>
      </c>
      <c r="O2">
        <v>979</v>
      </c>
      <c r="P2" t="s">
        <v>7</v>
      </c>
      <c r="Q2">
        <v>97</v>
      </c>
      <c r="R2" t="s">
        <v>8</v>
      </c>
      <c r="S2">
        <v>990</v>
      </c>
      <c r="T2" t="s">
        <v>8</v>
      </c>
      <c r="U2">
        <v>995</v>
      </c>
      <c r="V2" t="s">
        <v>9</v>
      </c>
      <c r="W2">
        <v>99</v>
      </c>
      <c r="X2" t="s">
        <v>10</v>
      </c>
      <c r="Y2">
        <v>646.5</v>
      </c>
      <c r="Z2" t="s">
        <v>11</v>
      </c>
      <c r="AA2">
        <v>6188.2</v>
      </c>
      <c r="AB2" t="s">
        <v>12</v>
      </c>
      <c r="AC2">
        <v>88.8</v>
      </c>
      <c r="AD2" t="s">
        <v>4</v>
      </c>
      <c r="AE2">
        <v>9.5</v>
      </c>
      <c r="AF2" t="s">
        <v>12</v>
      </c>
      <c r="AG2">
        <v>98.82</v>
      </c>
      <c r="AH2" t="s">
        <v>13</v>
      </c>
      <c r="AI2">
        <v>78.8</v>
      </c>
      <c r="AJ2" t="s">
        <v>14</v>
      </c>
      <c r="AK2">
        <v>73.5</v>
      </c>
    </row>
    <row r="3" spans="1:37" x14ac:dyDescent="0.15">
      <c r="A3" t="s">
        <v>15</v>
      </c>
      <c r="B3" t="s">
        <v>16</v>
      </c>
      <c r="C3">
        <v>99</v>
      </c>
      <c r="D3" t="s">
        <v>10</v>
      </c>
      <c r="E3">
        <v>995</v>
      </c>
      <c r="F3" t="s">
        <v>4</v>
      </c>
      <c r="G3">
        <v>984</v>
      </c>
      <c r="H3" t="s">
        <v>17</v>
      </c>
      <c r="I3">
        <v>98</v>
      </c>
      <c r="J3" t="s">
        <v>18</v>
      </c>
      <c r="K3">
        <v>9763</v>
      </c>
      <c r="L3" t="s">
        <v>12</v>
      </c>
      <c r="M3">
        <v>982.25</v>
      </c>
      <c r="N3" t="s">
        <v>19</v>
      </c>
      <c r="O3">
        <v>98</v>
      </c>
      <c r="P3" t="s">
        <v>19</v>
      </c>
      <c r="Q3">
        <v>98</v>
      </c>
      <c r="R3" t="s">
        <v>5</v>
      </c>
      <c r="S3">
        <v>98</v>
      </c>
      <c r="T3" t="s">
        <v>4</v>
      </c>
      <c r="U3">
        <v>977</v>
      </c>
      <c r="V3" t="s">
        <v>20</v>
      </c>
      <c r="W3">
        <v>990</v>
      </c>
      <c r="X3" t="s">
        <v>21</v>
      </c>
      <c r="Y3">
        <v>852.5</v>
      </c>
      <c r="Z3" t="s">
        <v>14</v>
      </c>
      <c r="AA3">
        <v>98.5</v>
      </c>
      <c r="AB3" t="s">
        <v>22</v>
      </c>
      <c r="AC3">
        <v>93.5</v>
      </c>
      <c r="AD3" t="s">
        <v>23</v>
      </c>
      <c r="AE3">
        <v>9.5</v>
      </c>
      <c r="AF3" t="s">
        <v>14</v>
      </c>
      <c r="AG3">
        <v>98.5</v>
      </c>
      <c r="AH3" t="s">
        <v>4</v>
      </c>
      <c r="AI3">
        <v>993.55</v>
      </c>
      <c r="AJ3" t="s">
        <v>5</v>
      </c>
      <c r="AK3">
        <v>888.5</v>
      </c>
    </row>
    <row r="4" spans="1:37" x14ac:dyDescent="0.15">
      <c r="A4" t="s">
        <v>24</v>
      </c>
      <c r="B4" t="s">
        <v>19</v>
      </c>
      <c r="C4">
        <v>99</v>
      </c>
      <c r="D4" t="s">
        <v>3</v>
      </c>
      <c r="E4">
        <v>978.5</v>
      </c>
      <c r="F4" t="s">
        <v>25</v>
      </c>
      <c r="G4">
        <v>955.5</v>
      </c>
      <c r="H4" t="s">
        <v>12</v>
      </c>
      <c r="I4">
        <v>981.25</v>
      </c>
      <c r="J4" t="s">
        <v>14</v>
      </c>
      <c r="K4">
        <v>98</v>
      </c>
      <c r="L4" t="s">
        <v>26</v>
      </c>
      <c r="M4">
        <v>98</v>
      </c>
      <c r="N4" t="s">
        <v>7</v>
      </c>
      <c r="O4">
        <v>95</v>
      </c>
      <c r="P4" t="s">
        <v>4</v>
      </c>
      <c r="Q4">
        <v>9.5</v>
      </c>
      <c r="R4" t="s">
        <v>26</v>
      </c>
      <c r="S4">
        <v>99</v>
      </c>
      <c r="T4" t="s">
        <v>27</v>
      </c>
      <c r="U4">
        <v>99</v>
      </c>
      <c r="V4" t="s">
        <v>28</v>
      </c>
      <c r="W4">
        <v>933.59</v>
      </c>
      <c r="X4" t="s">
        <v>3</v>
      </c>
      <c r="Y4">
        <v>747.5</v>
      </c>
      <c r="Z4" t="s">
        <v>29</v>
      </c>
      <c r="AA4">
        <v>96.5</v>
      </c>
      <c r="AB4" t="s">
        <v>12</v>
      </c>
      <c r="AC4">
        <v>94.5</v>
      </c>
      <c r="AD4" t="s">
        <v>30</v>
      </c>
      <c r="AE4">
        <v>9.5</v>
      </c>
      <c r="AF4" t="s">
        <v>14</v>
      </c>
      <c r="AG4">
        <v>91.5</v>
      </c>
      <c r="AH4" t="s">
        <v>3</v>
      </c>
      <c r="AI4">
        <v>988.5</v>
      </c>
      <c r="AJ4" t="s">
        <v>3</v>
      </c>
      <c r="AK4">
        <v>9.6999999999999993</v>
      </c>
    </row>
    <row r="5" spans="1:37" x14ac:dyDescent="0.15">
      <c r="A5" t="s">
        <v>31</v>
      </c>
      <c r="B5" t="s">
        <v>7</v>
      </c>
      <c r="C5">
        <v>98</v>
      </c>
      <c r="D5" t="s">
        <v>32</v>
      </c>
      <c r="E5">
        <v>94</v>
      </c>
      <c r="F5" t="s">
        <v>7</v>
      </c>
      <c r="G5">
        <v>9686</v>
      </c>
      <c r="H5" t="s">
        <v>19</v>
      </c>
      <c r="I5">
        <v>99</v>
      </c>
      <c r="J5" t="s">
        <v>19</v>
      </c>
      <c r="K5">
        <v>99</v>
      </c>
      <c r="L5" t="s">
        <v>7</v>
      </c>
      <c r="M5">
        <v>9800</v>
      </c>
      <c r="N5" t="s">
        <v>7</v>
      </c>
      <c r="O5">
        <v>9860</v>
      </c>
      <c r="P5" t="s">
        <v>33</v>
      </c>
      <c r="Q5">
        <v>95</v>
      </c>
      <c r="R5" t="s">
        <v>25</v>
      </c>
      <c r="S5">
        <v>990</v>
      </c>
      <c r="T5" t="s">
        <v>34</v>
      </c>
      <c r="U5">
        <v>995</v>
      </c>
      <c r="V5" t="s">
        <v>35</v>
      </c>
      <c r="W5">
        <v>996.5</v>
      </c>
      <c r="X5" t="s">
        <v>7</v>
      </c>
      <c r="Y5">
        <v>9754.94</v>
      </c>
      <c r="Z5" t="s">
        <v>33</v>
      </c>
      <c r="AA5">
        <v>8.5</v>
      </c>
      <c r="AB5" t="s">
        <v>36</v>
      </c>
      <c r="AC5">
        <v>803.5</v>
      </c>
      <c r="AD5" t="s">
        <v>33</v>
      </c>
      <c r="AE5">
        <v>8.5</v>
      </c>
      <c r="AF5" t="s">
        <v>37</v>
      </c>
      <c r="AG5">
        <v>79.2</v>
      </c>
      <c r="AH5" t="s">
        <v>7</v>
      </c>
      <c r="AI5">
        <v>986.5</v>
      </c>
      <c r="AJ5" t="s">
        <v>25</v>
      </c>
      <c r="AK5">
        <v>9567.5400000000009</v>
      </c>
    </row>
    <row r="6" spans="1:37" x14ac:dyDescent="0.15">
      <c r="A6" t="s">
        <v>38</v>
      </c>
      <c r="B6" t="s">
        <v>39</v>
      </c>
      <c r="C6">
        <v>99.5</v>
      </c>
      <c r="D6" t="s">
        <v>7</v>
      </c>
      <c r="E6">
        <v>99.5</v>
      </c>
      <c r="F6" t="s">
        <v>40</v>
      </c>
      <c r="G6">
        <v>99</v>
      </c>
      <c r="H6" t="s">
        <v>5</v>
      </c>
      <c r="I6">
        <v>991</v>
      </c>
      <c r="J6" t="s">
        <v>39</v>
      </c>
      <c r="K6">
        <v>99</v>
      </c>
      <c r="L6" t="s">
        <v>4</v>
      </c>
      <c r="M6">
        <v>99.5</v>
      </c>
      <c r="N6" t="s">
        <v>5</v>
      </c>
      <c r="O6">
        <v>98</v>
      </c>
      <c r="P6" t="s">
        <v>40</v>
      </c>
      <c r="Q6">
        <v>99</v>
      </c>
      <c r="R6" t="s">
        <v>3</v>
      </c>
      <c r="S6">
        <v>99.5</v>
      </c>
      <c r="T6" t="s">
        <v>5</v>
      </c>
      <c r="U6">
        <v>985</v>
      </c>
      <c r="V6" t="s">
        <v>5</v>
      </c>
      <c r="W6">
        <v>988</v>
      </c>
      <c r="X6" t="s">
        <v>40</v>
      </c>
      <c r="Y6">
        <v>98.5</v>
      </c>
      <c r="Z6" t="s">
        <v>41</v>
      </c>
      <c r="AA6">
        <v>9.5</v>
      </c>
      <c r="AB6" t="s">
        <v>10</v>
      </c>
      <c r="AC6">
        <v>9.5</v>
      </c>
      <c r="AD6" t="s">
        <v>40</v>
      </c>
      <c r="AE6">
        <v>98.5</v>
      </c>
      <c r="AF6" t="s">
        <v>42</v>
      </c>
      <c r="AG6">
        <v>976.81</v>
      </c>
      <c r="AH6" t="s">
        <v>42</v>
      </c>
      <c r="AI6">
        <v>976.8</v>
      </c>
      <c r="AJ6" t="s">
        <v>18</v>
      </c>
      <c r="AK6">
        <v>990.72</v>
      </c>
    </row>
    <row r="7" spans="1:37" x14ac:dyDescent="0.15">
      <c r="A7" t="s">
        <v>43</v>
      </c>
      <c r="B7" t="s">
        <v>44</v>
      </c>
      <c r="C7">
        <v>99</v>
      </c>
      <c r="D7" t="s">
        <v>4</v>
      </c>
      <c r="E7">
        <v>95</v>
      </c>
      <c r="F7" t="s">
        <v>8</v>
      </c>
      <c r="G7">
        <v>98.5</v>
      </c>
      <c r="H7" t="s">
        <v>45</v>
      </c>
      <c r="I7">
        <v>99</v>
      </c>
      <c r="J7" t="s">
        <v>45</v>
      </c>
      <c r="K7">
        <v>99</v>
      </c>
      <c r="L7" t="s">
        <v>46</v>
      </c>
      <c r="M7">
        <v>990</v>
      </c>
      <c r="N7" t="s">
        <v>45</v>
      </c>
      <c r="O7">
        <v>98.85</v>
      </c>
      <c r="P7" t="s">
        <v>25</v>
      </c>
      <c r="Q7">
        <v>97</v>
      </c>
      <c r="R7" t="s">
        <v>26</v>
      </c>
      <c r="S7">
        <v>98</v>
      </c>
      <c r="T7" t="s">
        <v>47</v>
      </c>
      <c r="U7">
        <v>977</v>
      </c>
      <c r="V7" t="s">
        <v>7</v>
      </c>
      <c r="W7">
        <v>98.5</v>
      </c>
      <c r="X7" t="s">
        <v>47</v>
      </c>
      <c r="Y7">
        <v>8886.4</v>
      </c>
      <c r="Z7" t="s">
        <v>12</v>
      </c>
      <c r="AA7">
        <v>9.69</v>
      </c>
      <c r="AB7" t="s">
        <v>12</v>
      </c>
      <c r="AC7">
        <v>9.25</v>
      </c>
      <c r="AD7" t="s">
        <v>37</v>
      </c>
      <c r="AE7">
        <v>93.5</v>
      </c>
      <c r="AF7" t="s">
        <v>19</v>
      </c>
      <c r="AG7">
        <v>95.5</v>
      </c>
      <c r="AH7" t="s">
        <v>7</v>
      </c>
      <c r="AI7">
        <v>9.25</v>
      </c>
      <c r="AJ7" t="s">
        <v>47</v>
      </c>
      <c r="AK7">
        <v>982.5</v>
      </c>
    </row>
    <row r="8" spans="1:37" x14ac:dyDescent="0.15">
      <c r="A8" t="s">
        <v>48</v>
      </c>
      <c r="B8" t="s">
        <v>7</v>
      </c>
      <c r="C8">
        <v>990</v>
      </c>
      <c r="D8" t="s">
        <v>7</v>
      </c>
      <c r="E8">
        <v>990</v>
      </c>
      <c r="F8" t="s">
        <v>7</v>
      </c>
      <c r="G8">
        <v>990</v>
      </c>
      <c r="H8" t="s">
        <v>7</v>
      </c>
      <c r="I8">
        <v>9963.1</v>
      </c>
      <c r="J8" t="s">
        <v>49</v>
      </c>
      <c r="K8">
        <v>9900</v>
      </c>
      <c r="L8" t="s">
        <v>50</v>
      </c>
      <c r="M8">
        <v>985</v>
      </c>
      <c r="N8" t="s">
        <v>50</v>
      </c>
      <c r="O8">
        <v>995</v>
      </c>
      <c r="P8" t="s">
        <v>50</v>
      </c>
      <c r="Q8">
        <v>995</v>
      </c>
      <c r="R8" t="s">
        <v>50</v>
      </c>
      <c r="S8">
        <v>995</v>
      </c>
      <c r="T8" t="s">
        <v>7</v>
      </c>
      <c r="U8">
        <v>9987</v>
      </c>
      <c r="V8" t="s">
        <v>44</v>
      </c>
      <c r="W8">
        <v>99</v>
      </c>
      <c r="X8" t="s">
        <v>7</v>
      </c>
      <c r="Y8">
        <v>9799.7999999999993</v>
      </c>
      <c r="Z8" t="s">
        <v>7</v>
      </c>
      <c r="AA8">
        <v>97.75</v>
      </c>
      <c r="AB8" t="s">
        <v>7</v>
      </c>
      <c r="AC8">
        <v>97.5</v>
      </c>
      <c r="AD8" t="s">
        <v>50</v>
      </c>
      <c r="AE8">
        <v>92.25</v>
      </c>
      <c r="AF8" t="s">
        <v>44</v>
      </c>
      <c r="AG8">
        <v>972.99</v>
      </c>
      <c r="AH8" t="s">
        <v>51</v>
      </c>
      <c r="AI8">
        <v>99.5</v>
      </c>
      <c r="AJ8" t="s">
        <v>7</v>
      </c>
      <c r="AK8">
        <v>968.5</v>
      </c>
    </row>
    <row r="9" spans="1:37" x14ac:dyDescent="0.15">
      <c r="A9" t="s">
        <v>52</v>
      </c>
      <c r="B9" t="s">
        <v>53</v>
      </c>
      <c r="C9">
        <v>99</v>
      </c>
      <c r="D9" t="s">
        <v>40</v>
      </c>
      <c r="E9">
        <v>985</v>
      </c>
      <c r="F9" t="s">
        <v>3</v>
      </c>
      <c r="G9">
        <v>992</v>
      </c>
      <c r="H9" t="s">
        <v>54</v>
      </c>
      <c r="I9">
        <v>995.5</v>
      </c>
      <c r="J9" t="s">
        <v>54</v>
      </c>
      <c r="K9">
        <v>995.5</v>
      </c>
      <c r="L9" t="s">
        <v>55</v>
      </c>
      <c r="M9">
        <v>995.5</v>
      </c>
      <c r="N9" t="s">
        <v>7</v>
      </c>
      <c r="O9">
        <v>9850</v>
      </c>
      <c r="P9" t="s">
        <v>56</v>
      </c>
      <c r="Q9">
        <v>997.1</v>
      </c>
      <c r="R9" t="s">
        <v>57</v>
      </c>
      <c r="S9">
        <v>99</v>
      </c>
      <c r="T9" t="s">
        <v>8</v>
      </c>
      <c r="U9">
        <v>993</v>
      </c>
      <c r="V9" t="s">
        <v>5</v>
      </c>
      <c r="W9">
        <v>99</v>
      </c>
      <c r="X9" t="s">
        <v>50</v>
      </c>
      <c r="Y9">
        <v>980.5</v>
      </c>
      <c r="Z9" t="s">
        <v>8</v>
      </c>
      <c r="AA9">
        <v>982.4</v>
      </c>
      <c r="AB9" t="s">
        <v>54</v>
      </c>
      <c r="AC9">
        <v>990.5</v>
      </c>
      <c r="AD9" t="s">
        <v>21</v>
      </c>
      <c r="AE9">
        <v>99.9</v>
      </c>
      <c r="AF9" t="s">
        <v>40</v>
      </c>
      <c r="AG9">
        <v>99.75</v>
      </c>
      <c r="AH9" t="s">
        <v>18</v>
      </c>
      <c r="AI9">
        <v>9178.18</v>
      </c>
      <c r="AJ9" t="s">
        <v>18</v>
      </c>
      <c r="AK9">
        <v>8611.69</v>
      </c>
    </row>
    <row r="10" spans="1:37" x14ac:dyDescent="0.15">
      <c r="A10" t="s">
        <v>58</v>
      </c>
      <c r="B10" t="s">
        <v>8</v>
      </c>
      <c r="C10">
        <v>99</v>
      </c>
      <c r="D10" t="s">
        <v>59</v>
      </c>
      <c r="E10">
        <v>9</v>
      </c>
      <c r="F10" t="s">
        <v>60</v>
      </c>
      <c r="G10">
        <v>94</v>
      </c>
      <c r="H10" t="s">
        <v>8</v>
      </c>
      <c r="I10">
        <v>90</v>
      </c>
      <c r="J10" t="s">
        <v>50</v>
      </c>
      <c r="K10">
        <v>92.8</v>
      </c>
      <c r="L10" t="s">
        <v>50</v>
      </c>
      <c r="M10">
        <v>92.8</v>
      </c>
      <c r="N10" t="s">
        <v>50</v>
      </c>
      <c r="O10">
        <v>92.8</v>
      </c>
      <c r="P10" t="s">
        <v>61</v>
      </c>
      <c r="Q10">
        <v>94</v>
      </c>
      <c r="R10" t="s">
        <v>26</v>
      </c>
      <c r="S10">
        <v>90</v>
      </c>
      <c r="T10" t="s">
        <v>10</v>
      </c>
      <c r="U10">
        <v>95</v>
      </c>
      <c r="V10" t="s">
        <v>7</v>
      </c>
      <c r="W10">
        <v>907</v>
      </c>
      <c r="X10" t="s">
        <v>50</v>
      </c>
      <c r="Y10">
        <v>9.6</v>
      </c>
      <c r="Z10" t="s">
        <v>50</v>
      </c>
      <c r="AA10">
        <v>9.6999999999999993</v>
      </c>
      <c r="AB10" t="s">
        <v>50</v>
      </c>
      <c r="AC10">
        <v>9.9</v>
      </c>
      <c r="AD10" t="s">
        <v>62</v>
      </c>
      <c r="AE10">
        <v>9.9600000000000009</v>
      </c>
      <c r="AF10" t="s">
        <v>63</v>
      </c>
      <c r="AG10">
        <v>9.3000000000000007</v>
      </c>
      <c r="AH10" t="s">
        <v>62</v>
      </c>
      <c r="AI10">
        <v>9.09</v>
      </c>
      <c r="AJ10" t="s">
        <v>62</v>
      </c>
      <c r="AK10">
        <v>9.08</v>
      </c>
    </row>
    <row r="11" spans="1:37" x14ac:dyDescent="0.15">
      <c r="A11" t="s">
        <v>64</v>
      </c>
      <c r="B11" t="s">
        <v>50</v>
      </c>
      <c r="C11">
        <v>9848</v>
      </c>
      <c r="D11" t="s">
        <v>7</v>
      </c>
      <c r="E11">
        <v>9974</v>
      </c>
      <c r="F11" t="s">
        <v>7</v>
      </c>
      <c r="G11">
        <v>980</v>
      </c>
      <c r="H11" t="s">
        <v>65</v>
      </c>
      <c r="I11">
        <v>995</v>
      </c>
      <c r="J11" t="s">
        <v>7</v>
      </c>
      <c r="K11">
        <v>993</v>
      </c>
      <c r="L11" t="s">
        <v>66</v>
      </c>
      <c r="M11">
        <v>992</v>
      </c>
      <c r="N11" t="s">
        <v>37</v>
      </c>
      <c r="O11">
        <v>99</v>
      </c>
      <c r="P11" t="s">
        <v>5</v>
      </c>
      <c r="Q11">
        <v>980</v>
      </c>
      <c r="R11" t="s">
        <v>10</v>
      </c>
      <c r="S11">
        <v>99</v>
      </c>
      <c r="T11" t="s">
        <v>50</v>
      </c>
      <c r="U11">
        <v>9988.7999999999993</v>
      </c>
      <c r="V11" t="s">
        <v>7</v>
      </c>
      <c r="W11">
        <v>999.5</v>
      </c>
      <c r="X11" t="s">
        <v>50</v>
      </c>
      <c r="Y11">
        <v>9802.3700000000008</v>
      </c>
      <c r="Z11" t="s">
        <v>7</v>
      </c>
      <c r="AA11">
        <v>989.75</v>
      </c>
      <c r="AB11" t="s">
        <v>4</v>
      </c>
      <c r="AC11">
        <v>998.9</v>
      </c>
      <c r="AD11" t="s">
        <v>10</v>
      </c>
      <c r="AE11">
        <v>99.5</v>
      </c>
      <c r="AF11" t="s">
        <v>5</v>
      </c>
      <c r="AG11">
        <v>90.5</v>
      </c>
      <c r="AH11" t="s">
        <v>28</v>
      </c>
      <c r="AI11">
        <v>9.5</v>
      </c>
      <c r="AJ11" t="s">
        <v>18</v>
      </c>
      <c r="AK11">
        <v>929.3</v>
      </c>
    </row>
    <row r="12" spans="1:37" x14ac:dyDescent="0.15">
      <c r="A12" t="s">
        <v>67</v>
      </c>
      <c r="B12" t="s">
        <v>7</v>
      </c>
      <c r="C12">
        <v>997</v>
      </c>
      <c r="D12" t="s">
        <v>68</v>
      </c>
      <c r="E12">
        <v>99</v>
      </c>
      <c r="F12" t="s">
        <v>50</v>
      </c>
      <c r="G12">
        <v>991</v>
      </c>
      <c r="H12" t="s">
        <v>7</v>
      </c>
      <c r="I12">
        <v>989</v>
      </c>
      <c r="J12" t="s">
        <v>7</v>
      </c>
      <c r="K12">
        <v>9739</v>
      </c>
      <c r="L12" t="s">
        <v>7</v>
      </c>
      <c r="M12">
        <v>999.54</v>
      </c>
      <c r="N12" t="s">
        <v>69</v>
      </c>
      <c r="O12">
        <v>99</v>
      </c>
      <c r="P12" t="s">
        <v>5</v>
      </c>
      <c r="Q12">
        <v>99</v>
      </c>
      <c r="R12" t="s">
        <v>70</v>
      </c>
      <c r="S12">
        <v>99</v>
      </c>
      <c r="T12" t="s">
        <v>25</v>
      </c>
      <c r="U12">
        <v>9800</v>
      </c>
      <c r="V12" t="s">
        <v>50</v>
      </c>
      <c r="W12">
        <v>990</v>
      </c>
      <c r="X12" t="s">
        <v>25</v>
      </c>
      <c r="Y12">
        <v>951.5</v>
      </c>
      <c r="Z12" t="s">
        <v>65</v>
      </c>
      <c r="AA12">
        <v>946.5</v>
      </c>
      <c r="AB12" t="s">
        <v>65</v>
      </c>
      <c r="AC12">
        <v>986.5</v>
      </c>
      <c r="AD12" t="s">
        <v>57</v>
      </c>
      <c r="AE12">
        <v>99.5</v>
      </c>
      <c r="AF12" t="s">
        <v>12</v>
      </c>
      <c r="AG12">
        <v>99.73</v>
      </c>
      <c r="AH12" t="s">
        <v>23</v>
      </c>
      <c r="AI12">
        <v>90.5</v>
      </c>
      <c r="AJ12" t="s">
        <v>71</v>
      </c>
      <c r="AK12">
        <v>8.5</v>
      </c>
    </row>
    <row r="13" spans="1:37" x14ac:dyDescent="0.15">
      <c r="A13" t="s">
        <v>72</v>
      </c>
      <c r="B13" t="s">
        <v>73</v>
      </c>
      <c r="C13">
        <v>99</v>
      </c>
      <c r="D13" t="s">
        <v>7</v>
      </c>
      <c r="E13">
        <v>9990</v>
      </c>
      <c r="F13" t="s">
        <v>7</v>
      </c>
      <c r="G13">
        <v>990</v>
      </c>
      <c r="H13" t="s">
        <v>7</v>
      </c>
      <c r="I13">
        <v>990</v>
      </c>
      <c r="J13" t="s">
        <v>7</v>
      </c>
      <c r="K13">
        <v>990</v>
      </c>
      <c r="L13" t="s">
        <v>7</v>
      </c>
      <c r="M13">
        <v>995</v>
      </c>
      <c r="N13" t="s">
        <v>44</v>
      </c>
      <c r="O13">
        <v>99</v>
      </c>
      <c r="P13" t="s">
        <v>7</v>
      </c>
      <c r="Q13">
        <v>9965</v>
      </c>
      <c r="R13" t="s">
        <v>7</v>
      </c>
      <c r="S13">
        <v>994</v>
      </c>
      <c r="T13" t="s">
        <v>7</v>
      </c>
      <c r="U13">
        <v>998</v>
      </c>
      <c r="V13" t="s">
        <v>7</v>
      </c>
      <c r="W13">
        <v>996</v>
      </c>
      <c r="X13" t="s">
        <v>7</v>
      </c>
      <c r="Y13">
        <v>9317.6</v>
      </c>
      <c r="Z13" t="s">
        <v>7</v>
      </c>
      <c r="AA13">
        <v>9790.07</v>
      </c>
      <c r="AB13" t="s">
        <v>7</v>
      </c>
      <c r="AC13">
        <v>9979.2000000000007</v>
      </c>
      <c r="AD13" t="s">
        <v>74</v>
      </c>
      <c r="AE13">
        <v>98.37</v>
      </c>
      <c r="AF13" t="s">
        <v>7</v>
      </c>
      <c r="AG13">
        <v>996.44</v>
      </c>
      <c r="AH13" t="s">
        <v>74</v>
      </c>
      <c r="AI13">
        <v>99.56</v>
      </c>
      <c r="AJ13" t="s">
        <v>74</v>
      </c>
      <c r="AK13">
        <v>99.54</v>
      </c>
    </row>
    <row r="14" spans="1:37" x14ac:dyDescent="0.15">
      <c r="A14" t="s">
        <v>75</v>
      </c>
      <c r="B14" t="s">
        <v>57</v>
      </c>
      <c r="C14">
        <v>988</v>
      </c>
      <c r="D14" t="s">
        <v>49</v>
      </c>
      <c r="E14">
        <v>985</v>
      </c>
      <c r="F14" t="s">
        <v>49</v>
      </c>
      <c r="G14">
        <v>985</v>
      </c>
      <c r="H14" t="s">
        <v>49</v>
      </c>
      <c r="I14">
        <v>985</v>
      </c>
      <c r="J14" t="s">
        <v>19</v>
      </c>
      <c r="K14">
        <v>99</v>
      </c>
      <c r="L14" t="s">
        <v>19</v>
      </c>
      <c r="M14">
        <v>99</v>
      </c>
      <c r="N14" t="s">
        <v>7</v>
      </c>
      <c r="O14">
        <v>99</v>
      </c>
      <c r="P14" t="s">
        <v>7</v>
      </c>
      <c r="Q14">
        <v>986</v>
      </c>
      <c r="R14" t="s">
        <v>76</v>
      </c>
      <c r="S14">
        <v>990</v>
      </c>
      <c r="T14" t="s">
        <v>76</v>
      </c>
      <c r="U14">
        <v>990</v>
      </c>
      <c r="V14" t="s">
        <v>65</v>
      </c>
      <c r="W14">
        <v>997</v>
      </c>
      <c r="X14" t="s">
        <v>7</v>
      </c>
      <c r="Y14">
        <v>93.3</v>
      </c>
      <c r="Z14" t="s">
        <v>6</v>
      </c>
      <c r="AA14">
        <v>93.5</v>
      </c>
      <c r="AB14" t="s">
        <v>77</v>
      </c>
      <c r="AC14">
        <v>9.5</v>
      </c>
      <c r="AD14" t="s">
        <v>7</v>
      </c>
      <c r="AE14">
        <v>96.5</v>
      </c>
      <c r="AF14" t="s">
        <v>7</v>
      </c>
      <c r="AG14">
        <v>963.79</v>
      </c>
      <c r="AH14" t="s">
        <v>7</v>
      </c>
      <c r="AI14">
        <v>95.24</v>
      </c>
      <c r="AJ14" t="s">
        <v>50</v>
      </c>
      <c r="AK14">
        <v>98.75</v>
      </c>
    </row>
    <row r="15" spans="1:37" x14ac:dyDescent="0.15">
      <c r="A15" t="s">
        <v>78</v>
      </c>
      <c r="B15" t="s">
        <v>7</v>
      </c>
      <c r="C15">
        <v>9982</v>
      </c>
      <c r="D15" t="s">
        <v>10</v>
      </c>
      <c r="E15">
        <v>998.53</v>
      </c>
      <c r="F15" t="s">
        <v>7</v>
      </c>
      <c r="G15">
        <v>996</v>
      </c>
      <c r="H15" t="s">
        <v>25</v>
      </c>
      <c r="I15">
        <v>9950</v>
      </c>
      <c r="J15" t="s">
        <v>5</v>
      </c>
      <c r="K15">
        <v>998</v>
      </c>
      <c r="L15" t="s">
        <v>79</v>
      </c>
      <c r="M15">
        <v>998.5</v>
      </c>
      <c r="N15" t="s">
        <v>79</v>
      </c>
      <c r="O15">
        <v>992</v>
      </c>
      <c r="P15" t="s">
        <v>79</v>
      </c>
      <c r="Q15">
        <v>995</v>
      </c>
      <c r="R15" t="s">
        <v>10</v>
      </c>
      <c r="S15">
        <v>9988</v>
      </c>
      <c r="T15" t="s">
        <v>10</v>
      </c>
      <c r="U15">
        <v>9965</v>
      </c>
      <c r="V15" t="s">
        <v>10</v>
      </c>
      <c r="W15">
        <v>9980.5</v>
      </c>
      <c r="X15" t="s">
        <v>8</v>
      </c>
      <c r="Y15">
        <v>990.23</v>
      </c>
      <c r="Z15" t="s">
        <v>50</v>
      </c>
      <c r="AA15">
        <v>99.48</v>
      </c>
      <c r="AB15" t="s">
        <v>80</v>
      </c>
      <c r="AC15">
        <v>98.66</v>
      </c>
      <c r="AD15" t="s">
        <v>81</v>
      </c>
      <c r="AE15">
        <v>986.5</v>
      </c>
      <c r="AF15" t="s">
        <v>81</v>
      </c>
      <c r="AG15">
        <v>988.5</v>
      </c>
      <c r="AH15" t="s">
        <v>25</v>
      </c>
      <c r="AI15">
        <v>99.25</v>
      </c>
      <c r="AJ15" t="s">
        <v>37</v>
      </c>
      <c r="AK15">
        <v>996.7</v>
      </c>
    </row>
    <row r="16" spans="1:37" x14ac:dyDescent="0.15">
      <c r="A16" t="s">
        <v>82</v>
      </c>
      <c r="B16" t="s">
        <v>7</v>
      </c>
      <c r="C16">
        <v>990</v>
      </c>
      <c r="D16" t="s">
        <v>10</v>
      </c>
      <c r="E16">
        <v>99</v>
      </c>
      <c r="F16" t="s">
        <v>83</v>
      </c>
      <c r="G16">
        <v>993</v>
      </c>
      <c r="H16" t="s">
        <v>10</v>
      </c>
      <c r="I16">
        <v>99</v>
      </c>
      <c r="J16" t="s">
        <v>65</v>
      </c>
      <c r="K16">
        <v>990</v>
      </c>
      <c r="L16" t="s">
        <v>7</v>
      </c>
      <c r="M16">
        <v>9982.7000000000007</v>
      </c>
      <c r="N16" t="s">
        <v>7</v>
      </c>
      <c r="O16">
        <v>9968.7000000000007</v>
      </c>
      <c r="P16" t="s">
        <v>57</v>
      </c>
      <c r="Q16">
        <v>99</v>
      </c>
      <c r="R16" t="s">
        <v>7</v>
      </c>
      <c r="S16">
        <v>988</v>
      </c>
      <c r="T16" t="s">
        <v>84</v>
      </c>
      <c r="U16">
        <v>98</v>
      </c>
      <c r="V16" t="s">
        <v>7</v>
      </c>
      <c r="W16">
        <v>99.7</v>
      </c>
      <c r="X16" t="s">
        <v>85</v>
      </c>
      <c r="Y16">
        <v>98.11</v>
      </c>
      <c r="Z16" t="s">
        <v>8</v>
      </c>
      <c r="AA16">
        <v>99.2</v>
      </c>
      <c r="AB16" t="s">
        <v>7</v>
      </c>
      <c r="AC16">
        <v>9968.5</v>
      </c>
      <c r="AD16" t="s">
        <v>21</v>
      </c>
      <c r="AE16">
        <v>95.3</v>
      </c>
      <c r="AF16" t="s">
        <v>8</v>
      </c>
      <c r="AG16">
        <v>98.83</v>
      </c>
      <c r="AH16" t="s">
        <v>26</v>
      </c>
      <c r="AI16">
        <v>993.1</v>
      </c>
      <c r="AJ16" t="s">
        <v>50</v>
      </c>
      <c r="AK16">
        <v>99.5</v>
      </c>
    </row>
    <row r="17" spans="1:37" x14ac:dyDescent="0.15">
      <c r="A17" t="s">
        <v>86</v>
      </c>
      <c r="B17" t="s">
        <v>87</v>
      </c>
      <c r="C17">
        <v>98</v>
      </c>
      <c r="D17" t="s">
        <v>7</v>
      </c>
      <c r="E17">
        <v>998</v>
      </c>
      <c r="F17" t="s">
        <v>5</v>
      </c>
      <c r="G17">
        <v>99</v>
      </c>
      <c r="H17" t="s">
        <v>7</v>
      </c>
      <c r="I17">
        <v>980</v>
      </c>
      <c r="J17" t="s">
        <v>25</v>
      </c>
      <c r="K17">
        <v>997</v>
      </c>
      <c r="L17" t="s">
        <v>70</v>
      </c>
      <c r="M17">
        <v>996</v>
      </c>
      <c r="N17" t="s">
        <v>65</v>
      </c>
      <c r="O17">
        <v>99</v>
      </c>
      <c r="P17" t="s">
        <v>7</v>
      </c>
      <c r="Q17">
        <v>998</v>
      </c>
      <c r="R17" t="s">
        <v>5</v>
      </c>
      <c r="S17">
        <v>99</v>
      </c>
      <c r="T17" t="s">
        <v>7</v>
      </c>
      <c r="U17">
        <v>994</v>
      </c>
      <c r="V17" t="s">
        <v>88</v>
      </c>
      <c r="W17">
        <v>999</v>
      </c>
      <c r="X17" t="s">
        <v>46</v>
      </c>
      <c r="Y17">
        <v>960.6</v>
      </c>
      <c r="Z17" t="s">
        <v>46</v>
      </c>
      <c r="AA17">
        <v>920.62</v>
      </c>
      <c r="AB17" t="s">
        <v>89</v>
      </c>
      <c r="AC17">
        <v>91.5</v>
      </c>
      <c r="AD17" t="s">
        <v>5</v>
      </c>
      <c r="AE17">
        <v>99.4</v>
      </c>
      <c r="AF17" t="s">
        <v>50</v>
      </c>
      <c r="AG17">
        <v>98.8</v>
      </c>
      <c r="AH17" t="s">
        <v>5</v>
      </c>
      <c r="AI17">
        <v>98.4</v>
      </c>
      <c r="AJ17" t="s">
        <v>25</v>
      </c>
      <c r="AK17">
        <v>98.22</v>
      </c>
    </row>
    <row r="18" spans="1:37" x14ac:dyDescent="0.15">
      <c r="A18" t="s">
        <v>90</v>
      </c>
      <c r="B18" t="s">
        <v>91</v>
      </c>
      <c r="C18">
        <v>99</v>
      </c>
      <c r="D18" t="s">
        <v>25</v>
      </c>
      <c r="E18">
        <v>985</v>
      </c>
      <c r="F18" t="s">
        <v>25</v>
      </c>
      <c r="G18">
        <v>99</v>
      </c>
      <c r="H18" t="s">
        <v>25</v>
      </c>
      <c r="I18">
        <v>98</v>
      </c>
      <c r="J18" t="s">
        <v>7</v>
      </c>
      <c r="K18">
        <v>999</v>
      </c>
      <c r="L18" t="s">
        <v>92</v>
      </c>
      <c r="M18">
        <v>99</v>
      </c>
      <c r="N18" t="s">
        <v>93</v>
      </c>
      <c r="O18">
        <v>99</v>
      </c>
      <c r="P18" t="s">
        <v>53</v>
      </c>
      <c r="Q18">
        <v>98</v>
      </c>
      <c r="R18" t="s">
        <v>7</v>
      </c>
      <c r="S18">
        <v>99.7</v>
      </c>
      <c r="T18" t="s">
        <v>26</v>
      </c>
      <c r="U18">
        <v>99.9</v>
      </c>
      <c r="V18" t="s">
        <v>7</v>
      </c>
      <c r="W18">
        <v>997.7</v>
      </c>
      <c r="X18" t="s">
        <v>25</v>
      </c>
      <c r="Y18">
        <v>923</v>
      </c>
      <c r="Z18" t="s">
        <v>94</v>
      </c>
      <c r="AA18">
        <v>94.5</v>
      </c>
      <c r="AB18" t="s">
        <v>95</v>
      </c>
      <c r="AC18">
        <v>94.2</v>
      </c>
      <c r="AD18" t="s">
        <v>95</v>
      </c>
      <c r="AE18">
        <v>9.5</v>
      </c>
      <c r="AF18" t="s">
        <v>93</v>
      </c>
      <c r="AG18">
        <v>9.5</v>
      </c>
      <c r="AH18" t="s">
        <v>26</v>
      </c>
      <c r="AI18">
        <v>99.91</v>
      </c>
      <c r="AJ18" t="s">
        <v>93</v>
      </c>
      <c r="AK18">
        <v>9.5</v>
      </c>
    </row>
    <row r="19" spans="1:37" x14ac:dyDescent="0.15">
      <c r="A19" t="s">
        <v>96</v>
      </c>
      <c r="B19" t="s">
        <v>97</v>
      </c>
      <c r="C19">
        <v>986</v>
      </c>
      <c r="D19" t="s">
        <v>49</v>
      </c>
      <c r="E19">
        <v>986</v>
      </c>
      <c r="F19" t="s">
        <v>49</v>
      </c>
      <c r="G19">
        <v>986</v>
      </c>
      <c r="H19" t="s">
        <v>7</v>
      </c>
      <c r="I19">
        <v>998</v>
      </c>
      <c r="J19" t="s">
        <v>49</v>
      </c>
      <c r="K19">
        <v>986</v>
      </c>
      <c r="L19" t="s">
        <v>10</v>
      </c>
      <c r="M19">
        <v>99</v>
      </c>
      <c r="N19" t="s">
        <v>10</v>
      </c>
      <c r="O19">
        <v>99</v>
      </c>
      <c r="P19" t="s">
        <v>10</v>
      </c>
      <c r="Q19">
        <v>99</v>
      </c>
      <c r="R19" t="s">
        <v>10</v>
      </c>
      <c r="S19">
        <v>991.8</v>
      </c>
      <c r="T19" t="s">
        <v>34</v>
      </c>
      <c r="U19">
        <v>990</v>
      </c>
      <c r="V19" t="s">
        <v>50</v>
      </c>
      <c r="W19">
        <v>998</v>
      </c>
      <c r="X19" t="s">
        <v>98</v>
      </c>
      <c r="Y19">
        <v>98.5</v>
      </c>
      <c r="Z19" t="s">
        <v>49</v>
      </c>
      <c r="AA19">
        <v>905.54</v>
      </c>
      <c r="AB19" t="s">
        <v>49</v>
      </c>
      <c r="AC19">
        <v>900.65</v>
      </c>
      <c r="AD19" t="s">
        <v>99</v>
      </c>
      <c r="AE19">
        <v>9.9</v>
      </c>
      <c r="AF19" t="s">
        <v>93</v>
      </c>
      <c r="AG19">
        <v>9.75</v>
      </c>
      <c r="AH19" t="s">
        <v>19</v>
      </c>
      <c r="AI19">
        <v>9.75</v>
      </c>
      <c r="AJ19" t="s">
        <v>99</v>
      </c>
      <c r="AK19">
        <v>9.9</v>
      </c>
    </row>
    <row r="20" spans="1:37" x14ac:dyDescent="0.15">
      <c r="A20" t="s">
        <v>100</v>
      </c>
      <c r="B20" s="2" t="s">
        <v>17</v>
      </c>
      <c r="C20">
        <v>994.5</v>
      </c>
      <c r="D20" t="s">
        <v>10</v>
      </c>
      <c r="E20">
        <v>994.5</v>
      </c>
      <c r="F20" t="s">
        <v>19</v>
      </c>
      <c r="G20">
        <v>98</v>
      </c>
      <c r="H20" t="s">
        <v>10</v>
      </c>
      <c r="I20">
        <v>991.8</v>
      </c>
      <c r="J20" t="s">
        <v>10</v>
      </c>
      <c r="K20">
        <v>991.8</v>
      </c>
      <c r="L20" t="s">
        <v>10</v>
      </c>
      <c r="M20">
        <v>991.8</v>
      </c>
      <c r="N20" t="s">
        <v>10</v>
      </c>
      <c r="O20">
        <v>991.8</v>
      </c>
      <c r="P20" t="s">
        <v>10</v>
      </c>
      <c r="Q20">
        <v>991.8</v>
      </c>
      <c r="R20" t="s">
        <v>10</v>
      </c>
      <c r="S20">
        <v>991.8</v>
      </c>
      <c r="T20" t="s">
        <v>10</v>
      </c>
      <c r="U20">
        <v>991.8</v>
      </c>
      <c r="V20" t="s">
        <v>10</v>
      </c>
      <c r="W20">
        <v>991.8</v>
      </c>
      <c r="X20" t="s">
        <v>101</v>
      </c>
      <c r="Y20">
        <v>889.5</v>
      </c>
      <c r="Z20" t="s">
        <v>4</v>
      </c>
      <c r="AA20">
        <v>98.9</v>
      </c>
      <c r="AB20" t="s">
        <v>25</v>
      </c>
      <c r="AC20">
        <v>972.7</v>
      </c>
      <c r="AD20" s="2" t="s">
        <v>7</v>
      </c>
      <c r="AE20">
        <v>96.9</v>
      </c>
      <c r="AF20" t="s">
        <v>5</v>
      </c>
      <c r="AG20">
        <v>8.5</v>
      </c>
      <c r="AH20" t="s">
        <v>40</v>
      </c>
      <c r="AI20">
        <v>9.1999999999999993</v>
      </c>
      <c r="AJ20" t="s">
        <v>40</v>
      </c>
      <c r="AK20">
        <v>68.5</v>
      </c>
    </row>
    <row r="21" spans="1:37" x14ac:dyDescent="0.15">
      <c r="A21" t="s">
        <v>102</v>
      </c>
      <c r="B21" t="s">
        <v>97</v>
      </c>
      <c r="C21">
        <v>9979</v>
      </c>
      <c r="D21" t="s">
        <v>7</v>
      </c>
      <c r="E21">
        <v>996</v>
      </c>
      <c r="F21" t="s">
        <v>7</v>
      </c>
      <c r="G21">
        <v>995</v>
      </c>
      <c r="H21" t="s">
        <v>7</v>
      </c>
      <c r="I21">
        <v>990</v>
      </c>
      <c r="J21" t="s">
        <v>57</v>
      </c>
      <c r="K21">
        <v>99</v>
      </c>
      <c r="L21" t="s">
        <v>7</v>
      </c>
      <c r="M21">
        <v>986</v>
      </c>
      <c r="N21" t="s">
        <v>49</v>
      </c>
      <c r="O21">
        <v>990</v>
      </c>
      <c r="P21" t="s">
        <v>7</v>
      </c>
      <c r="Q21">
        <v>991</v>
      </c>
      <c r="R21" t="s">
        <v>10</v>
      </c>
      <c r="S21">
        <v>9950</v>
      </c>
      <c r="T21" t="s">
        <v>49</v>
      </c>
      <c r="U21">
        <v>992.42</v>
      </c>
      <c r="V21" t="s">
        <v>7</v>
      </c>
      <c r="W21">
        <v>998</v>
      </c>
      <c r="X21" t="s">
        <v>49</v>
      </c>
      <c r="Y21">
        <v>992.42</v>
      </c>
      <c r="Z21" t="s">
        <v>7</v>
      </c>
      <c r="AA21">
        <v>98.5</v>
      </c>
      <c r="AB21" t="s">
        <v>7</v>
      </c>
      <c r="AC21">
        <v>984.5</v>
      </c>
      <c r="AD21" t="s">
        <v>7</v>
      </c>
      <c r="AE21">
        <v>992.25</v>
      </c>
      <c r="AF21" t="s">
        <v>50</v>
      </c>
      <c r="AG21">
        <v>99.3</v>
      </c>
      <c r="AH21" t="s">
        <v>7</v>
      </c>
      <c r="AI21">
        <v>99.8</v>
      </c>
      <c r="AJ21" t="s">
        <v>50</v>
      </c>
      <c r="AK21">
        <v>99.01</v>
      </c>
    </row>
    <row r="22" spans="1:37" ht="14" x14ac:dyDescent="0.15">
      <c r="A22" t="s">
        <v>103</v>
      </c>
      <c r="B22" t="s">
        <v>69</v>
      </c>
      <c r="C22" s="3">
        <v>99</v>
      </c>
      <c r="D22" t="s">
        <v>7</v>
      </c>
      <c r="E22">
        <v>990</v>
      </c>
      <c r="F22" t="s">
        <v>104</v>
      </c>
      <c r="G22">
        <v>987</v>
      </c>
      <c r="H22" t="s">
        <v>105</v>
      </c>
      <c r="I22">
        <v>998</v>
      </c>
      <c r="J22" t="s">
        <v>105</v>
      </c>
      <c r="K22">
        <v>998</v>
      </c>
      <c r="L22" t="s">
        <v>7</v>
      </c>
      <c r="M22">
        <v>995</v>
      </c>
      <c r="N22" t="s">
        <v>7</v>
      </c>
      <c r="O22">
        <v>987</v>
      </c>
      <c r="P22" t="s">
        <v>7</v>
      </c>
      <c r="Q22">
        <v>990</v>
      </c>
      <c r="R22" t="s">
        <v>7</v>
      </c>
      <c r="S22">
        <v>990</v>
      </c>
      <c r="T22" t="s">
        <v>106</v>
      </c>
      <c r="U22">
        <v>990</v>
      </c>
      <c r="V22" t="s">
        <v>7</v>
      </c>
      <c r="W22">
        <v>998.9</v>
      </c>
      <c r="X22" t="s">
        <v>7</v>
      </c>
      <c r="Y22">
        <v>9826.5</v>
      </c>
      <c r="Z22" t="s">
        <v>107</v>
      </c>
      <c r="AA22">
        <v>99.5</v>
      </c>
      <c r="AB22" t="s">
        <v>50</v>
      </c>
      <c r="AC22">
        <v>99.1</v>
      </c>
      <c r="AD22" t="s">
        <v>91</v>
      </c>
      <c r="AE22" s="3">
        <v>98.54</v>
      </c>
      <c r="AF22" t="s">
        <v>50</v>
      </c>
      <c r="AG22">
        <v>984.67</v>
      </c>
      <c r="AH22" t="s">
        <v>50</v>
      </c>
      <c r="AI22">
        <v>99.2</v>
      </c>
      <c r="AJ22" t="s">
        <v>108</v>
      </c>
      <c r="AK22">
        <v>99.69</v>
      </c>
    </row>
    <row r="23" spans="1:37" x14ac:dyDescent="0.15">
      <c r="A23" t="s">
        <v>109</v>
      </c>
      <c r="B23" t="s">
        <v>5</v>
      </c>
      <c r="C23">
        <v>95</v>
      </c>
      <c r="D23" t="s">
        <v>7</v>
      </c>
      <c r="E23">
        <v>990</v>
      </c>
      <c r="F23" t="s">
        <v>65</v>
      </c>
      <c r="G23">
        <v>998</v>
      </c>
      <c r="H23" t="s">
        <v>50</v>
      </c>
      <c r="I23">
        <v>983</v>
      </c>
      <c r="J23" t="s">
        <v>65</v>
      </c>
      <c r="K23">
        <v>985</v>
      </c>
      <c r="L23" t="s">
        <v>50</v>
      </c>
      <c r="M23">
        <v>997.4</v>
      </c>
      <c r="N23" t="s">
        <v>50</v>
      </c>
      <c r="O23">
        <v>995</v>
      </c>
      <c r="P23" t="s">
        <v>65</v>
      </c>
      <c r="Q23">
        <v>995</v>
      </c>
      <c r="R23" t="s">
        <v>7</v>
      </c>
      <c r="S23">
        <v>9961</v>
      </c>
      <c r="T23" t="s">
        <v>7</v>
      </c>
      <c r="U23">
        <v>9933</v>
      </c>
      <c r="V23" t="s">
        <v>7</v>
      </c>
      <c r="W23">
        <v>9940</v>
      </c>
      <c r="X23" t="s">
        <v>3</v>
      </c>
      <c r="Y23">
        <v>96.5</v>
      </c>
      <c r="Z23" t="s">
        <v>12</v>
      </c>
      <c r="AA23">
        <v>5.75</v>
      </c>
      <c r="AB23" t="s">
        <v>56</v>
      </c>
      <c r="AC23">
        <v>9.5</v>
      </c>
      <c r="AD23" t="s">
        <v>3</v>
      </c>
      <c r="AE23">
        <v>92.5</v>
      </c>
      <c r="AF23" t="s">
        <v>14</v>
      </c>
      <c r="AG23">
        <v>97.5</v>
      </c>
      <c r="AH23" t="s">
        <v>25</v>
      </c>
      <c r="AI23">
        <v>99.59</v>
      </c>
      <c r="AJ23" t="s">
        <v>25</v>
      </c>
      <c r="AK23">
        <v>99.57</v>
      </c>
    </row>
    <row r="24" spans="1:37" x14ac:dyDescent="0.15">
      <c r="A24" t="s">
        <v>110</v>
      </c>
      <c r="B24" t="s">
        <v>3</v>
      </c>
      <c r="C24">
        <v>91</v>
      </c>
      <c r="D24" t="s">
        <v>26</v>
      </c>
      <c r="E24">
        <v>921</v>
      </c>
      <c r="F24" t="s">
        <v>50</v>
      </c>
      <c r="G24">
        <v>995</v>
      </c>
      <c r="H24" t="s">
        <v>19</v>
      </c>
      <c r="I24">
        <v>90</v>
      </c>
      <c r="J24" t="s">
        <v>19</v>
      </c>
      <c r="K24">
        <v>95</v>
      </c>
      <c r="L24" t="s">
        <v>111</v>
      </c>
      <c r="M24">
        <v>987</v>
      </c>
      <c r="N24" t="s">
        <v>3</v>
      </c>
      <c r="O24">
        <v>950</v>
      </c>
      <c r="P24" t="s">
        <v>35</v>
      </c>
      <c r="Q24">
        <v>98</v>
      </c>
      <c r="R24" t="s">
        <v>7</v>
      </c>
      <c r="S24">
        <v>900</v>
      </c>
      <c r="T24" t="s">
        <v>7</v>
      </c>
      <c r="U24">
        <v>980</v>
      </c>
      <c r="V24" t="s">
        <v>50</v>
      </c>
      <c r="W24">
        <v>96</v>
      </c>
      <c r="X24" t="s">
        <v>7</v>
      </c>
      <c r="Y24">
        <v>9.6</v>
      </c>
      <c r="Z24" t="s">
        <v>7</v>
      </c>
      <c r="AA24">
        <v>9840.5</v>
      </c>
      <c r="AB24" t="s">
        <v>112</v>
      </c>
      <c r="AC24">
        <v>7.5</v>
      </c>
      <c r="AD24" t="s">
        <v>3</v>
      </c>
      <c r="AE24">
        <v>9.2200000000000006</v>
      </c>
      <c r="AF24" t="s">
        <v>46</v>
      </c>
      <c r="AG24">
        <v>873.7</v>
      </c>
      <c r="AH24" t="s">
        <v>25</v>
      </c>
      <c r="AI24">
        <v>98.1</v>
      </c>
      <c r="AJ24" t="s">
        <v>37</v>
      </c>
      <c r="AK24">
        <v>83.5</v>
      </c>
    </row>
    <row r="25" spans="1:37" x14ac:dyDescent="0.15">
      <c r="A25" t="s">
        <v>113</v>
      </c>
      <c r="B25" t="s">
        <v>114</v>
      </c>
      <c r="C25">
        <v>993</v>
      </c>
      <c r="D25" t="s">
        <v>114</v>
      </c>
      <c r="E25">
        <v>993</v>
      </c>
      <c r="F25" t="s">
        <v>114</v>
      </c>
      <c r="G25">
        <v>993</v>
      </c>
      <c r="H25" t="s">
        <v>7</v>
      </c>
      <c r="I25">
        <v>999.26</v>
      </c>
      <c r="J25" t="s">
        <v>7</v>
      </c>
      <c r="K25">
        <v>995</v>
      </c>
      <c r="L25" t="s">
        <v>107</v>
      </c>
      <c r="M25">
        <v>998</v>
      </c>
      <c r="N25" t="s">
        <v>7</v>
      </c>
      <c r="O25">
        <v>995</v>
      </c>
      <c r="P25" t="s">
        <v>7</v>
      </c>
      <c r="Q25">
        <v>998</v>
      </c>
      <c r="R25" t="s">
        <v>115</v>
      </c>
      <c r="S25">
        <v>985</v>
      </c>
      <c r="T25" t="s">
        <v>19</v>
      </c>
      <c r="U25">
        <v>990</v>
      </c>
      <c r="V25" t="s">
        <v>19</v>
      </c>
      <c r="W25">
        <v>995</v>
      </c>
      <c r="X25" t="s">
        <v>46</v>
      </c>
      <c r="Y25">
        <v>991.92</v>
      </c>
      <c r="Z25" t="s">
        <v>116</v>
      </c>
      <c r="AA25">
        <v>986.14</v>
      </c>
      <c r="AB25" t="s">
        <v>7</v>
      </c>
      <c r="AC25">
        <v>97.5</v>
      </c>
      <c r="AD25" t="s">
        <v>19</v>
      </c>
      <c r="AE25">
        <v>976.5</v>
      </c>
      <c r="AF25" t="s">
        <v>56</v>
      </c>
      <c r="AG25">
        <v>996.67</v>
      </c>
      <c r="AH25" t="s">
        <v>7</v>
      </c>
      <c r="AI25">
        <v>96.5</v>
      </c>
      <c r="AJ25" t="s">
        <v>89</v>
      </c>
      <c r="AK25">
        <v>9.5</v>
      </c>
    </row>
    <row r="26" spans="1:37" x14ac:dyDescent="0.15">
      <c r="A26" t="s">
        <v>117</v>
      </c>
      <c r="B26" t="s">
        <v>17</v>
      </c>
      <c r="C26">
        <v>995</v>
      </c>
      <c r="D26" t="s">
        <v>57</v>
      </c>
      <c r="E26">
        <v>995</v>
      </c>
      <c r="F26" t="s">
        <v>26</v>
      </c>
      <c r="G26">
        <v>996</v>
      </c>
      <c r="H26" t="s">
        <v>25</v>
      </c>
      <c r="I26">
        <v>985</v>
      </c>
      <c r="J26" t="s">
        <v>3</v>
      </c>
      <c r="K26">
        <v>98</v>
      </c>
      <c r="L26" t="s">
        <v>7</v>
      </c>
      <c r="M26">
        <v>9962</v>
      </c>
      <c r="N26" t="s">
        <v>14</v>
      </c>
      <c r="O26">
        <v>993</v>
      </c>
      <c r="P26" t="s">
        <v>25</v>
      </c>
      <c r="Q26">
        <v>990.6</v>
      </c>
      <c r="R26" t="s">
        <v>26</v>
      </c>
      <c r="S26">
        <v>99</v>
      </c>
      <c r="T26" t="s">
        <v>3</v>
      </c>
      <c r="U26">
        <v>99</v>
      </c>
      <c r="V26" t="s">
        <v>10</v>
      </c>
      <c r="W26">
        <v>996</v>
      </c>
      <c r="X26" t="s">
        <v>3</v>
      </c>
      <c r="Y26">
        <v>993.6</v>
      </c>
      <c r="Z26" t="s">
        <v>93</v>
      </c>
      <c r="AA26">
        <v>96.7</v>
      </c>
      <c r="AB26" t="s">
        <v>27</v>
      </c>
      <c r="AC26">
        <v>99.78</v>
      </c>
      <c r="AD26" t="s">
        <v>44</v>
      </c>
      <c r="AE26">
        <v>982.8</v>
      </c>
      <c r="AF26" t="s">
        <v>14</v>
      </c>
      <c r="AG26">
        <v>98.5</v>
      </c>
      <c r="AH26" t="s">
        <v>7</v>
      </c>
      <c r="AI26">
        <v>999.4</v>
      </c>
      <c r="AJ26" t="s">
        <v>65</v>
      </c>
      <c r="AK26">
        <v>991.76</v>
      </c>
    </row>
    <row r="27" spans="1:37" x14ac:dyDescent="0.15">
      <c r="A27" t="s">
        <v>118</v>
      </c>
      <c r="B27" t="s">
        <v>4</v>
      </c>
      <c r="C27">
        <v>990</v>
      </c>
      <c r="D27" t="s">
        <v>88</v>
      </c>
      <c r="E27">
        <v>996</v>
      </c>
      <c r="F27" t="s">
        <v>57</v>
      </c>
      <c r="G27">
        <v>984</v>
      </c>
      <c r="H27" t="s">
        <v>88</v>
      </c>
      <c r="I27">
        <v>996</v>
      </c>
      <c r="J27" t="s">
        <v>21</v>
      </c>
      <c r="K27">
        <v>997</v>
      </c>
      <c r="L27" t="s">
        <v>40</v>
      </c>
      <c r="M27">
        <v>99</v>
      </c>
      <c r="N27" t="s">
        <v>21</v>
      </c>
      <c r="O27">
        <v>996</v>
      </c>
      <c r="P27" t="s">
        <v>57</v>
      </c>
      <c r="Q27">
        <v>9978</v>
      </c>
      <c r="R27" t="s">
        <v>7</v>
      </c>
      <c r="S27">
        <v>980</v>
      </c>
      <c r="T27" t="s">
        <v>88</v>
      </c>
      <c r="U27">
        <v>990</v>
      </c>
      <c r="V27" t="s">
        <v>93</v>
      </c>
      <c r="W27">
        <v>997</v>
      </c>
      <c r="X27" t="s">
        <v>7</v>
      </c>
      <c r="Y27">
        <v>964.5</v>
      </c>
      <c r="Z27" t="s">
        <v>4</v>
      </c>
      <c r="AA27">
        <v>99.7</v>
      </c>
      <c r="AB27" t="s">
        <v>10</v>
      </c>
      <c r="AC27">
        <v>99.5</v>
      </c>
      <c r="AD27" t="s">
        <v>21</v>
      </c>
      <c r="AE27">
        <v>99.5</v>
      </c>
      <c r="AF27" t="s">
        <v>21</v>
      </c>
      <c r="AG27">
        <v>998.5</v>
      </c>
      <c r="AH27" t="s">
        <v>89</v>
      </c>
      <c r="AI27">
        <v>98.5</v>
      </c>
      <c r="AJ27" t="s">
        <v>57</v>
      </c>
      <c r="AK27">
        <v>7040.28</v>
      </c>
    </row>
    <row r="28" spans="1:37" x14ac:dyDescent="0.15">
      <c r="A28" t="s">
        <v>119</v>
      </c>
      <c r="B28" t="s">
        <v>50</v>
      </c>
      <c r="C28">
        <v>972</v>
      </c>
      <c r="D28" t="s">
        <v>19</v>
      </c>
      <c r="E28">
        <v>97.49</v>
      </c>
      <c r="F28" t="s">
        <v>29</v>
      </c>
      <c r="G28">
        <v>98</v>
      </c>
      <c r="H28" t="s">
        <v>34</v>
      </c>
      <c r="I28">
        <v>971</v>
      </c>
      <c r="J28" t="s">
        <v>34</v>
      </c>
      <c r="K28">
        <v>951</v>
      </c>
      <c r="L28" t="s">
        <v>19</v>
      </c>
      <c r="M28">
        <v>97.34</v>
      </c>
      <c r="N28" t="s">
        <v>50</v>
      </c>
      <c r="O28">
        <v>950</v>
      </c>
      <c r="P28" t="s">
        <v>19</v>
      </c>
      <c r="Q28">
        <v>97.34</v>
      </c>
      <c r="R28" t="s">
        <v>37</v>
      </c>
      <c r="S28">
        <v>96</v>
      </c>
      <c r="T28" t="s">
        <v>7</v>
      </c>
      <c r="U28">
        <v>9</v>
      </c>
      <c r="V28" t="s">
        <v>7</v>
      </c>
      <c r="W28">
        <v>970</v>
      </c>
      <c r="X28" t="s">
        <v>19</v>
      </c>
      <c r="Y28">
        <v>97.5</v>
      </c>
      <c r="Z28" t="s">
        <v>19</v>
      </c>
      <c r="AA28">
        <v>97.5</v>
      </c>
      <c r="AB28" t="s">
        <v>19</v>
      </c>
      <c r="AC28">
        <v>97.5</v>
      </c>
      <c r="AD28" t="s">
        <v>19</v>
      </c>
      <c r="AE28">
        <v>97.5</v>
      </c>
      <c r="AF28" t="s">
        <v>19</v>
      </c>
      <c r="AG28">
        <v>97.5</v>
      </c>
      <c r="AH28" t="s">
        <v>19</v>
      </c>
      <c r="AI28">
        <v>97.5</v>
      </c>
      <c r="AJ28" t="s">
        <v>19</v>
      </c>
      <c r="AK28">
        <v>97.5</v>
      </c>
    </row>
    <row r="29" spans="1:37" x14ac:dyDescent="0.15">
      <c r="A29" t="s">
        <v>120</v>
      </c>
      <c r="B29" t="s">
        <v>25</v>
      </c>
      <c r="C29">
        <v>980524</v>
      </c>
      <c r="D29" t="s">
        <v>25</v>
      </c>
      <c r="E29">
        <v>9837</v>
      </c>
      <c r="F29" t="s">
        <v>121</v>
      </c>
      <c r="G29">
        <v>98</v>
      </c>
      <c r="H29" t="s">
        <v>7</v>
      </c>
      <c r="I29">
        <v>9995</v>
      </c>
      <c r="J29" t="s">
        <v>19</v>
      </c>
      <c r="K29">
        <v>9802</v>
      </c>
      <c r="L29" t="s">
        <v>7</v>
      </c>
      <c r="M29">
        <v>9914</v>
      </c>
      <c r="N29" t="s">
        <v>19</v>
      </c>
      <c r="O29">
        <v>9802</v>
      </c>
      <c r="P29" t="s">
        <v>7</v>
      </c>
      <c r="Q29">
        <v>9950</v>
      </c>
      <c r="R29" t="s">
        <v>35</v>
      </c>
      <c r="S29">
        <v>994.09</v>
      </c>
      <c r="T29" t="s">
        <v>7</v>
      </c>
      <c r="U29">
        <v>985</v>
      </c>
      <c r="V29" t="s">
        <v>35</v>
      </c>
      <c r="W29">
        <v>990</v>
      </c>
      <c r="X29" t="s">
        <v>7</v>
      </c>
      <c r="Y29">
        <v>99.14</v>
      </c>
      <c r="Z29" t="s">
        <v>35</v>
      </c>
      <c r="AA29">
        <v>997.12</v>
      </c>
      <c r="AB29" t="s">
        <v>7</v>
      </c>
      <c r="AC29">
        <v>9869.2999999999993</v>
      </c>
      <c r="AD29" t="s">
        <v>7</v>
      </c>
      <c r="AE29">
        <v>997.5</v>
      </c>
      <c r="AF29" t="s">
        <v>7</v>
      </c>
      <c r="AG29">
        <v>9916.42</v>
      </c>
      <c r="AH29" t="s">
        <v>7</v>
      </c>
      <c r="AI29">
        <v>9684.2999999999993</v>
      </c>
      <c r="AJ29" t="s">
        <v>37</v>
      </c>
      <c r="AK29">
        <v>978.45</v>
      </c>
    </row>
    <row r="30" spans="1:37" x14ac:dyDescent="0.15">
      <c r="A30" t="s">
        <v>122</v>
      </c>
      <c r="B30" t="s">
        <v>7</v>
      </c>
      <c r="C30">
        <v>985</v>
      </c>
      <c r="D30" t="s">
        <v>7</v>
      </c>
      <c r="E30">
        <v>985</v>
      </c>
      <c r="F30" t="s">
        <v>7</v>
      </c>
      <c r="G30">
        <v>985</v>
      </c>
      <c r="H30" t="s">
        <v>7</v>
      </c>
      <c r="I30">
        <v>998</v>
      </c>
      <c r="J30" t="s">
        <v>7</v>
      </c>
      <c r="K30">
        <v>985</v>
      </c>
      <c r="L30" t="s">
        <v>7</v>
      </c>
      <c r="M30">
        <v>985</v>
      </c>
      <c r="N30" t="s">
        <v>57</v>
      </c>
      <c r="O30">
        <v>993</v>
      </c>
      <c r="P30" t="s">
        <v>7</v>
      </c>
      <c r="Q30">
        <v>985</v>
      </c>
      <c r="R30" t="s">
        <v>7</v>
      </c>
      <c r="S30">
        <v>985</v>
      </c>
      <c r="T30" t="s">
        <v>57</v>
      </c>
      <c r="U30">
        <v>990</v>
      </c>
      <c r="V30" t="s">
        <v>5</v>
      </c>
      <c r="W30">
        <v>993</v>
      </c>
      <c r="X30" t="s">
        <v>7</v>
      </c>
      <c r="Y30">
        <v>99.23</v>
      </c>
      <c r="Z30" t="s">
        <v>7</v>
      </c>
      <c r="AA30">
        <v>934.39</v>
      </c>
      <c r="AB30" t="s">
        <v>5</v>
      </c>
      <c r="AC30">
        <v>13.5</v>
      </c>
      <c r="AD30" t="s">
        <v>7</v>
      </c>
      <c r="AE30">
        <v>14310</v>
      </c>
      <c r="AF30" t="s">
        <v>5</v>
      </c>
      <c r="AG30">
        <v>94.5</v>
      </c>
      <c r="AH30" t="s">
        <v>123</v>
      </c>
      <c r="AI30">
        <v>5.5</v>
      </c>
      <c r="AJ30" t="s">
        <v>14</v>
      </c>
      <c r="AK30">
        <v>4.5</v>
      </c>
    </row>
    <row r="31" spans="1:37" x14ac:dyDescent="0.15">
      <c r="A31" t="s">
        <v>124</v>
      </c>
      <c r="B31" t="s">
        <v>97</v>
      </c>
      <c r="C31">
        <v>994.71</v>
      </c>
      <c r="D31" t="s">
        <v>7</v>
      </c>
      <c r="E31">
        <v>998</v>
      </c>
      <c r="F31" t="s">
        <v>50</v>
      </c>
      <c r="G31">
        <v>995</v>
      </c>
      <c r="H31" t="s">
        <v>49</v>
      </c>
      <c r="I31">
        <v>994</v>
      </c>
      <c r="J31" t="s">
        <v>49</v>
      </c>
      <c r="K31">
        <v>995</v>
      </c>
      <c r="L31" t="s">
        <v>49</v>
      </c>
      <c r="M31">
        <v>995</v>
      </c>
      <c r="N31" t="s">
        <v>49</v>
      </c>
      <c r="O31">
        <v>995</v>
      </c>
      <c r="P31" t="s">
        <v>35</v>
      </c>
      <c r="Q31">
        <v>9962</v>
      </c>
      <c r="R31" t="s">
        <v>19</v>
      </c>
      <c r="S31">
        <v>998</v>
      </c>
      <c r="T31" t="s">
        <v>7</v>
      </c>
      <c r="U31">
        <v>990</v>
      </c>
      <c r="V31" t="s">
        <v>50</v>
      </c>
      <c r="W31">
        <v>99</v>
      </c>
      <c r="X31" t="s">
        <v>19</v>
      </c>
      <c r="Y31">
        <v>957.5</v>
      </c>
      <c r="Z31" t="s">
        <v>19</v>
      </c>
      <c r="AA31">
        <v>957.5</v>
      </c>
      <c r="AB31" t="s">
        <v>19</v>
      </c>
      <c r="AC31">
        <v>957.5</v>
      </c>
      <c r="AD31" t="s">
        <v>46</v>
      </c>
      <c r="AE31">
        <v>949.41</v>
      </c>
      <c r="AF31" t="s">
        <v>84</v>
      </c>
      <c r="AG31">
        <v>99.5</v>
      </c>
      <c r="AH31" t="s">
        <v>7</v>
      </c>
      <c r="AI31">
        <v>99.5</v>
      </c>
      <c r="AJ31" t="s">
        <v>49</v>
      </c>
      <c r="AK31">
        <v>975.55</v>
      </c>
    </row>
    <row r="32" spans="1:37" x14ac:dyDescent="0.15">
      <c r="A32" t="s">
        <v>125</v>
      </c>
      <c r="B32" t="s">
        <v>19</v>
      </c>
      <c r="C32">
        <v>98</v>
      </c>
      <c r="D32" t="s">
        <v>10</v>
      </c>
      <c r="E32">
        <v>99</v>
      </c>
      <c r="F32" t="s">
        <v>10</v>
      </c>
      <c r="G32">
        <v>95</v>
      </c>
      <c r="H32" t="s">
        <v>10</v>
      </c>
      <c r="I32">
        <v>990</v>
      </c>
      <c r="J32" t="s">
        <v>7</v>
      </c>
      <c r="K32">
        <v>99</v>
      </c>
      <c r="L32" t="s">
        <v>10</v>
      </c>
      <c r="M32">
        <v>979</v>
      </c>
      <c r="N32" t="s">
        <v>126</v>
      </c>
      <c r="O32">
        <v>993.11</v>
      </c>
      <c r="P32" t="s">
        <v>7</v>
      </c>
      <c r="Q32">
        <v>9970</v>
      </c>
      <c r="R32" t="s">
        <v>7</v>
      </c>
      <c r="S32">
        <v>995</v>
      </c>
      <c r="T32" t="s">
        <v>10</v>
      </c>
      <c r="U32">
        <v>999.18</v>
      </c>
      <c r="V32" t="s">
        <v>7</v>
      </c>
      <c r="W32">
        <v>99.69</v>
      </c>
      <c r="X32" t="s">
        <v>7</v>
      </c>
      <c r="Y32">
        <v>989.8</v>
      </c>
      <c r="Z32" t="s">
        <v>10</v>
      </c>
      <c r="AA32">
        <v>99.6</v>
      </c>
      <c r="AB32" t="s">
        <v>10</v>
      </c>
      <c r="AC32">
        <v>98.01</v>
      </c>
      <c r="AD32" t="s">
        <v>26</v>
      </c>
      <c r="AE32">
        <v>99.53</v>
      </c>
      <c r="AF32" t="s">
        <v>7</v>
      </c>
      <c r="AG32">
        <v>976.5</v>
      </c>
      <c r="AH32" t="s">
        <v>37</v>
      </c>
      <c r="AI32">
        <v>969.8</v>
      </c>
      <c r="AJ32" t="s">
        <v>7</v>
      </c>
      <c r="AK32">
        <v>912.71</v>
      </c>
    </row>
    <row r="33" spans="1:37" x14ac:dyDescent="0.15">
      <c r="A33" t="s">
        <v>127</v>
      </c>
      <c r="B33" t="s">
        <v>56</v>
      </c>
      <c r="C33">
        <v>996</v>
      </c>
      <c r="D33" t="s">
        <v>50</v>
      </c>
      <c r="E33">
        <v>99</v>
      </c>
      <c r="F33" t="s">
        <v>4</v>
      </c>
      <c r="G33">
        <v>99</v>
      </c>
      <c r="H33" t="s">
        <v>77</v>
      </c>
      <c r="I33">
        <v>99.24</v>
      </c>
      <c r="J33" t="s">
        <v>50</v>
      </c>
      <c r="K33">
        <v>995.13</v>
      </c>
      <c r="L33" t="s">
        <v>7</v>
      </c>
      <c r="M33">
        <v>986</v>
      </c>
      <c r="N33" t="s">
        <v>50</v>
      </c>
      <c r="O33">
        <v>990</v>
      </c>
      <c r="P33" t="s">
        <v>7</v>
      </c>
      <c r="Q33">
        <v>950</v>
      </c>
      <c r="R33" t="s">
        <v>14</v>
      </c>
      <c r="S33">
        <v>990</v>
      </c>
      <c r="T33" t="s">
        <v>56</v>
      </c>
      <c r="U33">
        <v>980</v>
      </c>
      <c r="V33" t="s">
        <v>57</v>
      </c>
      <c r="W33">
        <v>999</v>
      </c>
      <c r="X33" t="s">
        <v>128</v>
      </c>
      <c r="Y33">
        <v>991.5</v>
      </c>
      <c r="Z33" t="s">
        <v>50</v>
      </c>
      <c r="AA33">
        <v>96389.52</v>
      </c>
      <c r="AB33" t="s">
        <v>129</v>
      </c>
      <c r="AC33">
        <v>96.5</v>
      </c>
      <c r="AD33" t="s">
        <v>12</v>
      </c>
      <c r="AE33">
        <v>99.5</v>
      </c>
      <c r="AF33" t="s">
        <v>129</v>
      </c>
      <c r="AG33">
        <v>96.5</v>
      </c>
      <c r="AH33" t="s">
        <v>129</v>
      </c>
      <c r="AI33">
        <v>96.5</v>
      </c>
      <c r="AJ33" t="s">
        <v>99</v>
      </c>
      <c r="AK33">
        <v>999.65</v>
      </c>
    </row>
    <row r="37" spans="1:37" x14ac:dyDescent="0.15">
      <c r="A37">
        <f>C1</f>
        <v>2004</v>
      </c>
      <c r="B37">
        <f>SUM(C2:C33)</f>
        <v>1024674.71</v>
      </c>
    </row>
    <row r="38" spans="1:37" x14ac:dyDescent="0.15">
      <c r="A38">
        <f>E1</f>
        <v>2005</v>
      </c>
      <c r="B38">
        <f>SUM(E2:E33)</f>
        <v>49446.52</v>
      </c>
    </row>
    <row r="39" spans="1:37" x14ac:dyDescent="0.15">
      <c r="A39">
        <f>G1</f>
        <v>2006</v>
      </c>
      <c r="B39">
        <f>SUM(G2:G33)</f>
        <v>30533</v>
      </c>
    </row>
    <row r="40" spans="1:37" x14ac:dyDescent="0.15">
      <c r="A40">
        <f>I1</f>
        <v>2007</v>
      </c>
      <c r="B40">
        <f>SUM(I2:I33)</f>
        <v>50580.149999999994</v>
      </c>
    </row>
    <row r="41" spans="1:37" x14ac:dyDescent="0.15">
      <c r="A41">
        <f>K1</f>
        <v>2008</v>
      </c>
      <c r="B41">
        <f>SUM(K2:K33)</f>
        <v>66832.23000000001</v>
      </c>
    </row>
    <row r="42" spans="1:37" x14ac:dyDescent="0.15">
      <c r="A42">
        <f>M1</f>
        <v>2009</v>
      </c>
      <c r="B42">
        <f>SUM(M2:M33)</f>
        <v>60258.329999999994</v>
      </c>
    </row>
    <row r="43" spans="1:37" x14ac:dyDescent="0.15">
      <c r="A43">
        <v>2010</v>
      </c>
      <c r="B43">
        <f>SUM(O2:O33)</f>
        <v>56441.26</v>
      </c>
    </row>
    <row r="44" spans="1:37" x14ac:dyDescent="0.15">
      <c r="A44">
        <v>2011</v>
      </c>
      <c r="B44">
        <f>SUM(Q2:Q33)</f>
        <v>64847.34</v>
      </c>
    </row>
    <row r="45" spans="1:37" x14ac:dyDescent="0.15">
      <c r="A45">
        <v>2012</v>
      </c>
      <c r="B45">
        <f>SUM(S2:S33)</f>
        <v>47821.89</v>
      </c>
    </row>
    <row r="46" spans="1:37" x14ac:dyDescent="0.15">
      <c r="A46">
        <v>2013</v>
      </c>
      <c r="B46">
        <f>SUM(U2:U33)</f>
        <v>70946.100000000006</v>
      </c>
    </row>
    <row r="47" spans="1:37" x14ac:dyDescent="0.15">
      <c r="A47">
        <v>2014</v>
      </c>
      <c r="B47">
        <f>SUM(W2:W33)</f>
        <v>42431.380000000005</v>
      </c>
    </row>
    <row r="48" spans="1:37" x14ac:dyDescent="0.15">
      <c r="A48">
        <v>2015</v>
      </c>
      <c r="B48">
        <f>SUM(Y2:Y33)</f>
        <v>73010.66</v>
      </c>
    </row>
    <row r="49" spans="1:5" x14ac:dyDescent="0.15">
      <c r="A49">
        <v>2016</v>
      </c>
      <c r="B49">
        <f>SUM(AA2:AA33)</f>
        <v>132241.22</v>
      </c>
    </row>
    <row r="50" spans="1:5" x14ac:dyDescent="0.15">
      <c r="A50">
        <v>2017</v>
      </c>
      <c r="B50">
        <f>SUM(AC2:AC33)</f>
        <v>38826.950000000004</v>
      </c>
      <c r="D50">
        <f>_xlfn.FORECAST.LINEAR(2010,B37:B42,A37:A42)</f>
        <v>-261266.93866670132</v>
      </c>
    </row>
    <row r="51" spans="1:5" x14ac:dyDescent="0.15">
      <c r="A51">
        <v>2018</v>
      </c>
      <c r="B51">
        <f>SUM(AE2:AE33)</f>
        <v>21927.23</v>
      </c>
    </row>
    <row r="52" spans="1:5" x14ac:dyDescent="0.15">
      <c r="A52">
        <v>2019</v>
      </c>
      <c r="B52">
        <f>SUM(AG2:AG33)</f>
        <v>21316.47</v>
      </c>
    </row>
    <row r="53" spans="1:5" x14ac:dyDescent="0.15">
      <c r="A53">
        <v>2020</v>
      </c>
      <c r="B53">
        <f>SUM(AI2:AI33)</f>
        <v>27468.77</v>
      </c>
    </row>
    <row r="54" spans="1:5" x14ac:dyDescent="0.15">
      <c r="A54">
        <v>2021</v>
      </c>
    </row>
    <row r="55" spans="1:5" x14ac:dyDescent="0.15">
      <c r="D55" t="s">
        <v>130</v>
      </c>
      <c r="E55">
        <v>5514287142</v>
      </c>
    </row>
    <row r="56" spans="1:5" x14ac:dyDescent="0.15">
      <c r="A56" t="s">
        <v>131</v>
      </c>
      <c r="B56" t="s">
        <v>132</v>
      </c>
      <c r="D56" t="s">
        <v>133</v>
      </c>
    </row>
    <row r="57" spans="1:5" x14ac:dyDescent="0.15">
      <c r="A57" t="s">
        <v>134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718CC-7B71-954C-8D0C-F04BAA597959}">
  <dimension ref="A2:W577"/>
  <sheetViews>
    <sheetView topLeftCell="Q1" workbookViewId="0">
      <selection activeCell="T3" sqref="T3"/>
    </sheetView>
  </sheetViews>
  <sheetFormatPr baseColWidth="10" defaultColWidth="11.5" defaultRowHeight="13" x14ac:dyDescent="0.15"/>
  <cols>
    <col min="19" max="19" width="8.33203125" customWidth="1"/>
    <col min="20" max="20" width="30.1640625" style="6" bestFit="1" customWidth="1"/>
    <col min="21" max="21" width="22.83203125" customWidth="1"/>
    <col min="22" max="22" width="21.33203125" customWidth="1"/>
  </cols>
  <sheetData>
    <row r="2" spans="1:23" x14ac:dyDescent="0.15">
      <c r="A2" t="s">
        <v>135</v>
      </c>
      <c r="B2" t="s">
        <v>136</v>
      </c>
      <c r="C2" t="s">
        <v>137</v>
      </c>
      <c r="D2" t="s">
        <v>138</v>
      </c>
      <c r="E2" t="s">
        <v>139</v>
      </c>
      <c r="F2" t="s">
        <v>140</v>
      </c>
      <c r="G2" t="s">
        <v>141</v>
      </c>
      <c r="H2" t="s">
        <v>142</v>
      </c>
      <c r="I2" t="s">
        <v>143</v>
      </c>
      <c r="J2" t="s">
        <v>144</v>
      </c>
      <c r="K2" t="s">
        <v>145</v>
      </c>
      <c r="L2" t="s">
        <v>146</v>
      </c>
      <c r="M2" t="s">
        <v>147</v>
      </c>
      <c r="N2" t="s">
        <v>148</v>
      </c>
      <c r="O2" t="s">
        <v>149</v>
      </c>
      <c r="P2" t="s">
        <v>150</v>
      </c>
      <c r="Q2" t="s">
        <v>151</v>
      </c>
      <c r="R2" t="s">
        <v>152</v>
      </c>
      <c r="T2" s="6" t="s">
        <v>153</v>
      </c>
      <c r="U2" t="str">
        <f>SUBSTITUTE(T2,".",",")</f>
        <v>2518485,3</v>
      </c>
      <c r="V2">
        <f>_xlfn.NUMBERVALUE(U2)</f>
        <v>2518485.2999999998</v>
      </c>
      <c r="W2">
        <f>V2/10</f>
        <v>251848.52999999997</v>
      </c>
    </row>
    <row r="3" spans="1:23" ht="15" x14ac:dyDescent="0.2">
      <c r="A3" t="s">
        <v>154</v>
      </c>
      <c r="B3" t="s">
        <v>155</v>
      </c>
      <c r="C3" t="s">
        <v>156</v>
      </c>
      <c r="D3" t="s">
        <v>157</v>
      </c>
      <c r="E3" t="s">
        <v>158</v>
      </c>
      <c r="F3" t="s">
        <v>159</v>
      </c>
      <c r="G3" t="s">
        <v>160</v>
      </c>
      <c r="H3" t="s">
        <v>161</v>
      </c>
      <c r="I3" t="s">
        <v>162</v>
      </c>
      <c r="J3" t="s">
        <v>163</v>
      </c>
      <c r="K3" t="s">
        <v>164</v>
      </c>
      <c r="L3" t="s">
        <v>165</v>
      </c>
      <c r="M3" t="s">
        <v>166</v>
      </c>
      <c r="N3" t="s">
        <v>167</v>
      </c>
      <c r="O3" t="s">
        <v>168</v>
      </c>
      <c r="P3" t="s">
        <v>169</v>
      </c>
      <c r="Q3" t="s">
        <v>170</v>
      </c>
      <c r="R3" t="s">
        <v>171</v>
      </c>
      <c r="T3" s="9">
        <v>3.9937289699999904E+16</v>
      </c>
      <c r="U3" t="str">
        <f>SUBSTITUTE(T3,".",",")</f>
        <v>39937289699999900</v>
      </c>
      <c r="V3">
        <f t="shared" ref="V3:V66" si="0">_xlfn.NUMBERVALUE(U3)</f>
        <v>3.9937289699999904E+16</v>
      </c>
    </row>
    <row r="4" spans="1:23" x14ac:dyDescent="0.15">
      <c r="A4" t="s">
        <v>172</v>
      </c>
      <c r="B4" t="s">
        <v>173</v>
      </c>
      <c r="C4" t="s">
        <v>174</v>
      </c>
      <c r="D4" t="s">
        <v>175</v>
      </c>
      <c r="E4" t="s">
        <v>176</v>
      </c>
      <c r="F4" t="s">
        <v>177</v>
      </c>
      <c r="G4" t="s">
        <v>178</v>
      </c>
      <c r="H4" t="s">
        <v>179</v>
      </c>
      <c r="I4" t="s">
        <v>180</v>
      </c>
      <c r="J4" t="s">
        <v>181</v>
      </c>
      <c r="K4" t="s">
        <v>182</v>
      </c>
      <c r="L4" t="s">
        <v>183</v>
      </c>
      <c r="M4" t="s">
        <v>184</v>
      </c>
      <c r="N4" t="s">
        <v>185</v>
      </c>
      <c r="O4" t="s">
        <v>186</v>
      </c>
      <c r="P4" t="s">
        <v>187</v>
      </c>
      <c r="Q4" t="s">
        <v>188</v>
      </c>
      <c r="R4" t="s">
        <v>189</v>
      </c>
      <c r="T4" s="6" t="s">
        <v>190</v>
      </c>
      <c r="U4" t="str">
        <f t="shared" ref="U4:U66" si="1">SUBSTITUTE(T4,".",",")</f>
        <v>429787,45</v>
      </c>
      <c r="V4">
        <f t="shared" si="0"/>
        <v>429787.45</v>
      </c>
    </row>
    <row r="5" spans="1:23" x14ac:dyDescent="0.15">
      <c r="A5" t="s">
        <v>191</v>
      </c>
      <c r="B5" t="s">
        <v>192</v>
      </c>
      <c r="C5" t="s">
        <v>193</v>
      </c>
      <c r="D5" t="s">
        <v>194</v>
      </c>
      <c r="E5" t="s">
        <v>195</v>
      </c>
      <c r="F5" t="s">
        <v>196</v>
      </c>
      <c r="G5" t="s">
        <v>197</v>
      </c>
      <c r="H5" t="s">
        <v>198</v>
      </c>
      <c r="I5" t="s">
        <v>199</v>
      </c>
      <c r="J5">
        <v>1697.4</v>
      </c>
      <c r="K5" t="s">
        <v>200</v>
      </c>
      <c r="L5" t="s">
        <v>201</v>
      </c>
      <c r="M5" t="s">
        <v>202</v>
      </c>
      <c r="N5" t="s">
        <v>203</v>
      </c>
      <c r="O5" t="s">
        <v>204</v>
      </c>
      <c r="P5" t="s">
        <v>205</v>
      </c>
      <c r="Q5" t="s">
        <v>206</v>
      </c>
      <c r="R5" t="s">
        <v>207</v>
      </c>
      <c r="T5" s="6" t="s">
        <v>208</v>
      </c>
      <c r="U5" t="str">
        <f t="shared" si="1"/>
        <v>858601,26</v>
      </c>
      <c r="V5">
        <f t="shared" si="0"/>
        <v>858601.26</v>
      </c>
    </row>
    <row r="6" spans="1:23" x14ac:dyDescent="0.15">
      <c r="A6" t="s">
        <v>209</v>
      </c>
      <c r="B6" t="s">
        <v>210</v>
      </c>
      <c r="C6" t="s">
        <v>211</v>
      </c>
      <c r="D6" t="s">
        <v>212</v>
      </c>
      <c r="E6" t="s">
        <v>213</v>
      </c>
      <c r="F6" t="s">
        <v>214</v>
      </c>
      <c r="G6" t="s">
        <v>215</v>
      </c>
      <c r="H6" t="s">
        <v>216</v>
      </c>
      <c r="I6" t="s">
        <v>217</v>
      </c>
      <c r="J6" t="s">
        <v>218</v>
      </c>
      <c r="K6" t="s">
        <v>219</v>
      </c>
      <c r="L6" t="s">
        <v>220</v>
      </c>
      <c r="M6" t="s">
        <v>221</v>
      </c>
      <c r="N6" t="s">
        <v>222</v>
      </c>
      <c r="O6" t="s">
        <v>223</v>
      </c>
      <c r="P6" t="s">
        <v>224</v>
      </c>
      <c r="Q6" t="s">
        <v>225</v>
      </c>
      <c r="R6" t="s">
        <v>226</v>
      </c>
      <c r="T6" s="6">
        <v>5317590529999990</v>
      </c>
      <c r="U6" t="str">
        <f t="shared" si="1"/>
        <v>5317590529999990</v>
      </c>
      <c r="V6">
        <f t="shared" si="0"/>
        <v>5317590529999990</v>
      </c>
    </row>
    <row r="7" spans="1:23" x14ac:dyDescent="0.15">
      <c r="A7" t="s">
        <v>227</v>
      </c>
      <c r="B7" t="s">
        <v>228</v>
      </c>
      <c r="C7" t="s">
        <v>229</v>
      </c>
      <c r="D7" t="s">
        <v>230</v>
      </c>
      <c r="E7" t="s">
        <v>231</v>
      </c>
      <c r="F7" t="s">
        <v>232</v>
      </c>
      <c r="G7" t="s">
        <v>233</v>
      </c>
      <c r="H7" t="s">
        <v>234</v>
      </c>
      <c r="I7" t="s">
        <v>235</v>
      </c>
      <c r="J7" t="s">
        <v>236</v>
      </c>
      <c r="K7" t="s">
        <v>237</v>
      </c>
      <c r="L7" t="s">
        <v>238</v>
      </c>
      <c r="M7" t="s">
        <v>239</v>
      </c>
      <c r="N7" t="s">
        <v>240</v>
      </c>
      <c r="O7" t="s">
        <v>241</v>
      </c>
      <c r="P7" t="s">
        <v>242</v>
      </c>
      <c r="Q7" t="s">
        <v>243</v>
      </c>
      <c r="R7" t="s">
        <v>244</v>
      </c>
      <c r="T7" s="6" t="s">
        <v>245</v>
      </c>
      <c r="U7" t="str">
        <f t="shared" si="1"/>
        <v>3211216,55</v>
      </c>
      <c r="V7">
        <f t="shared" si="0"/>
        <v>3211216.55</v>
      </c>
    </row>
    <row r="8" spans="1:23" x14ac:dyDescent="0.15">
      <c r="A8" t="s">
        <v>246</v>
      </c>
      <c r="B8" t="s">
        <v>247</v>
      </c>
      <c r="C8" t="s">
        <v>248</v>
      </c>
      <c r="D8" t="s">
        <v>249</v>
      </c>
      <c r="E8" t="s">
        <v>250</v>
      </c>
      <c r="F8" t="s">
        <v>251</v>
      </c>
      <c r="G8" t="s">
        <v>252</v>
      </c>
      <c r="H8" t="s">
        <v>253</v>
      </c>
      <c r="I8" t="s">
        <v>254</v>
      </c>
      <c r="J8" t="s">
        <v>255</v>
      </c>
      <c r="K8" t="s">
        <v>256</v>
      </c>
      <c r="L8" t="s">
        <v>257</v>
      </c>
      <c r="M8" t="s">
        <v>258</v>
      </c>
      <c r="N8" t="s">
        <v>259</v>
      </c>
      <c r="O8" t="s">
        <v>260</v>
      </c>
      <c r="P8" t="s">
        <v>261</v>
      </c>
      <c r="Q8" t="s">
        <v>262</v>
      </c>
      <c r="R8" t="s">
        <v>263</v>
      </c>
      <c r="T8" s="6">
        <v>1.252731219E+16</v>
      </c>
      <c r="U8" t="str">
        <f t="shared" si="1"/>
        <v>12527312190000000</v>
      </c>
      <c r="V8">
        <f t="shared" si="0"/>
        <v>1.252731219E+16</v>
      </c>
    </row>
    <row r="9" spans="1:23" x14ac:dyDescent="0.15">
      <c r="A9" t="s">
        <v>264</v>
      </c>
      <c r="B9" t="s">
        <v>265</v>
      </c>
      <c r="C9" t="s">
        <v>266</v>
      </c>
      <c r="D9" t="s">
        <v>267</v>
      </c>
      <c r="E9" t="s">
        <v>268</v>
      </c>
      <c r="F9" t="s">
        <v>269</v>
      </c>
      <c r="G9" t="s">
        <v>270</v>
      </c>
      <c r="H9" t="s">
        <v>271</v>
      </c>
      <c r="I9" t="s">
        <v>272</v>
      </c>
      <c r="J9" t="s">
        <v>273</v>
      </c>
      <c r="K9" t="s">
        <v>274</v>
      </c>
      <c r="L9" t="s">
        <v>275</v>
      </c>
      <c r="M9" t="s">
        <v>276</v>
      </c>
      <c r="N9" t="s">
        <v>277</v>
      </c>
      <c r="O9" t="s">
        <v>278</v>
      </c>
      <c r="P9" t="s">
        <v>279</v>
      </c>
      <c r="Q9" t="s">
        <v>280</v>
      </c>
      <c r="R9" t="s">
        <v>281</v>
      </c>
      <c r="T9" s="6">
        <v>5981083589999990</v>
      </c>
      <c r="U9" t="str">
        <f t="shared" si="1"/>
        <v>5981083589999990</v>
      </c>
      <c r="V9">
        <f t="shared" si="0"/>
        <v>5981083589999990</v>
      </c>
    </row>
    <row r="10" spans="1:23" x14ac:dyDescent="0.15">
      <c r="A10" t="s">
        <v>282</v>
      </c>
      <c r="B10" t="s">
        <v>283</v>
      </c>
      <c r="C10" t="s">
        <v>284</v>
      </c>
      <c r="D10" t="s">
        <v>285</v>
      </c>
      <c r="E10" t="s">
        <v>286</v>
      </c>
      <c r="F10" t="s">
        <v>287</v>
      </c>
      <c r="G10" t="s">
        <v>288</v>
      </c>
      <c r="H10" t="s">
        <v>289</v>
      </c>
      <c r="I10" t="s">
        <v>290</v>
      </c>
      <c r="J10" t="s">
        <v>291</v>
      </c>
      <c r="K10" t="s">
        <v>292</v>
      </c>
      <c r="L10" t="s">
        <v>293</v>
      </c>
      <c r="M10" t="s">
        <v>294</v>
      </c>
      <c r="N10" t="s">
        <v>295</v>
      </c>
      <c r="O10" t="s">
        <v>296</v>
      </c>
      <c r="P10" t="s">
        <v>297</v>
      </c>
      <c r="Q10" t="s">
        <v>298</v>
      </c>
      <c r="R10" t="s">
        <v>299</v>
      </c>
      <c r="T10" s="6">
        <v>3748025899999990</v>
      </c>
      <c r="U10" t="str">
        <f t="shared" si="1"/>
        <v>3748025899999990</v>
      </c>
      <c r="V10">
        <f t="shared" si="0"/>
        <v>3748025899999990</v>
      </c>
    </row>
    <row r="11" spans="1:23" x14ac:dyDescent="0.15">
      <c r="A11" t="s">
        <v>300</v>
      </c>
      <c r="B11" t="s">
        <v>301</v>
      </c>
      <c r="C11" t="s">
        <v>302</v>
      </c>
      <c r="D11" t="s">
        <v>303</v>
      </c>
      <c r="E11" t="s">
        <v>304</v>
      </c>
      <c r="F11" t="s">
        <v>305</v>
      </c>
      <c r="G11" t="s">
        <v>306</v>
      </c>
      <c r="H11" t="s">
        <v>307</v>
      </c>
      <c r="I11" t="s">
        <v>308</v>
      </c>
      <c r="J11" t="s">
        <v>309</v>
      </c>
      <c r="K11" t="s">
        <v>310</v>
      </c>
      <c r="L11" t="s">
        <v>311</v>
      </c>
      <c r="M11" t="s">
        <v>312</v>
      </c>
      <c r="N11" t="s">
        <v>313</v>
      </c>
      <c r="O11" t="s">
        <v>314</v>
      </c>
      <c r="P11" t="s">
        <v>315</v>
      </c>
      <c r="Q11" t="s">
        <v>316</v>
      </c>
      <c r="R11" t="s">
        <v>317</v>
      </c>
      <c r="T11" s="6">
        <v>7091715529999990</v>
      </c>
      <c r="U11" t="str">
        <f t="shared" si="1"/>
        <v>7091715529999990</v>
      </c>
      <c r="V11">
        <f t="shared" si="0"/>
        <v>7091715529999990</v>
      </c>
    </row>
    <row r="12" spans="1:23" x14ac:dyDescent="0.15">
      <c r="A12" t="s">
        <v>318</v>
      </c>
      <c r="B12" t="s">
        <v>319</v>
      </c>
      <c r="C12" t="s">
        <v>320</v>
      </c>
      <c r="D12" t="s">
        <v>321</v>
      </c>
      <c r="E12" t="s">
        <v>322</v>
      </c>
      <c r="F12" t="s">
        <v>323</v>
      </c>
      <c r="G12" t="s">
        <v>324</v>
      </c>
      <c r="H12" t="s">
        <v>325</v>
      </c>
      <c r="I12" t="s">
        <v>326</v>
      </c>
      <c r="J12" t="s">
        <v>327</v>
      </c>
      <c r="K12" t="s">
        <v>328</v>
      </c>
      <c r="L12" t="s">
        <v>329</v>
      </c>
      <c r="M12" t="s">
        <v>330</v>
      </c>
      <c r="N12" t="s">
        <v>331</v>
      </c>
      <c r="O12" t="s">
        <v>332</v>
      </c>
      <c r="P12" t="s">
        <v>333</v>
      </c>
      <c r="Q12" t="s">
        <v>334</v>
      </c>
      <c r="R12" t="s">
        <v>335</v>
      </c>
      <c r="T12" s="6" t="s">
        <v>336</v>
      </c>
      <c r="U12" t="str">
        <f t="shared" si="1"/>
        <v>8226710,19</v>
      </c>
      <c r="V12">
        <f t="shared" si="0"/>
        <v>8226710.1900000004</v>
      </c>
    </row>
    <row r="13" spans="1:23" x14ac:dyDescent="0.15">
      <c r="A13" t="s">
        <v>337</v>
      </c>
      <c r="B13" t="s">
        <v>338</v>
      </c>
      <c r="C13" t="s">
        <v>339</v>
      </c>
      <c r="D13" t="s">
        <v>340</v>
      </c>
      <c r="E13" t="s">
        <v>341</v>
      </c>
      <c r="F13" t="s">
        <v>342</v>
      </c>
      <c r="G13" t="s">
        <v>343</v>
      </c>
      <c r="H13" t="s">
        <v>344</v>
      </c>
      <c r="I13" t="s">
        <v>345</v>
      </c>
      <c r="J13" t="s">
        <v>346</v>
      </c>
      <c r="K13" t="s">
        <v>347</v>
      </c>
      <c r="L13" t="s">
        <v>348</v>
      </c>
      <c r="M13" t="s">
        <v>349</v>
      </c>
      <c r="N13" t="s">
        <v>350</v>
      </c>
      <c r="O13" t="s">
        <v>351</v>
      </c>
      <c r="P13" t="s">
        <v>352</v>
      </c>
      <c r="Q13" t="s">
        <v>353</v>
      </c>
      <c r="R13" t="s">
        <v>354</v>
      </c>
      <c r="T13" s="6">
        <v>4505812440000000</v>
      </c>
      <c r="U13" t="str">
        <f t="shared" si="1"/>
        <v>4505812440000000</v>
      </c>
      <c r="V13">
        <f t="shared" si="0"/>
        <v>4505812440000000</v>
      </c>
    </row>
    <row r="14" spans="1:23" x14ac:dyDescent="0.15">
      <c r="A14" t="s">
        <v>355</v>
      </c>
      <c r="B14" t="s">
        <v>356</v>
      </c>
      <c r="C14" t="s">
        <v>357</v>
      </c>
      <c r="D14" t="s">
        <v>358</v>
      </c>
      <c r="E14" t="s">
        <v>359</v>
      </c>
      <c r="F14" t="s">
        <v>360</v>
      </c>
      <c r="G14" t="s">
        <v>361</v>
      </c>
      <c r="H14" t="s">
        <v>362</v>
      </c>
      <c r="I14" t="s">
        <v>363</v>
      </c>
      <c r="J14" t="s">
        <v>364</v>
      </c>
      <c r="K14" t="s">
        <v>365</v>
      </c>
      <c r="L14" t="s">
        <v>366</v>
      </c>
      <c r="M14" t="s">
        <v>367</v>
      </c>
      <c r="N14" t="s">
        <v>368</v>
      </c>
      <c r="O14" t="s">
        <v>369</v>
      </c>
      <c r="P14" t="s">
        <v>370</v>
      </c>
      <c r="Q14" t="s">
        <v>371</v>
      </c>
      <c r="R14" t="s">
        <v>372</v>
      </c>
      <c r="T14" s="6">
        <v>7003302550000000</v>
      </c>
      <c r="U14" t="str">
        <f t="shared" si="1"/>
        <v>7003302550000000</v>
      </c>
      <c r="V14">
        <f t="shared" si="0"/>
        <v>7003302550000000</v>
      </c>
    </row>
    <row r="15" spans="1:23" x14ac:dyDescent="0.15">
      <c r="A15" t="s">
        <v>373</v>
      </c>
      <c r="B15" t="s">
        <v>374</v>
      </c>
      <c r="C15" t="s">
        <v>375</v>
      </c>
      <c r="D15" t="s">
        <v>376</v>
      </c>
      <c r="E15" t="s">
        <v>377</v>
      </c>
      <c r="F15" t="s">
        <v>378</v>
      </c>
      <c r="G15" t="s">
        <v>379</v>
      </c>
      <c r="H15" t="s">
        <v>380</v>
      </c>
      <c r="I15" t="s">
        <v>381</v>
      </c>
      <c r="J15" t="s">
        <v>382</v>
      </c>
      <c r="K15" t="s">
        <v>383</v>
      </c>
      <c r="L15" t="s">
        <v>384</v>
      </c>
      <c r="M15" t="s">
        <v>385</v>
      </c>
      <c r="N15" t="s">
        <v>386</v>
      </c>
      <c r="O15" t="s">
        <v>387</v>
      </c>
      <c r="P15" t="s">
        <v>388</v>
      </c>
      <c r="Q15" t="s">
        <v>389</v>
      </c>
      <c r="R15" t="s">
        <v>390</v>
      </c>
      <c r="T15" s="6">
        <v>2289753426000000</v>
      </c>
      <c r="U15" t="str">
        <f t="shared" si="1"/>
        <v>2289753426000000</v>
      </c>
      <c r="V15">
        <f t="shared" si="0"/>
        <v>2289753426000000</v>
      </c>
    </row>
    <row r="16" spans="1:23" x14ac:dyDescent="0.15">
      <c r="A16" t="s">
        <v>391</v>
      </c>
      <c r="B16" t="s">
        <v>392</v>
      </c>
      <c r="C16" t="s">
        <v>393</v>
      </c>
      <c r="D16" t="s">
        <v>394</v>
      </c>
      <c r="E16" t="s">
        <v>395</v>
      </c>
      <c r="F16" t="s">
        <v>396</v>
      </c>
      <c r="G16" t="s">
        <v>397</v>
      </c>
      <c r="H16" t="s">
        <v>398</v>
      </c>
      <c r="I16" t="s">
        <v>399</v>
      </c>
      <c r="J16" t="s">
        <v>400</v>
      </c>
      <c r="K16" t="s">
        <v>401</v>
      </c>
      <c r="L16" t="s">
        <v>402</v>
      </c>
      <c r="M16" t="s">
        <v>403</v>
      </c>
      <c r="N16" t="s">
        <v>404</v>
      </c>
      <c r="O16" t="s">
        <v>405</v>
      </c>
      <c r="P16" t="s">
        <v>406</v>
      </c>
      <c r="Q16" t="s">
        <v>407</v>
      </c>
      <c r="R16" t="s">
        <v>408</v>
      </c>
      <c r="T16" s="6">
        <v>8630832220000000</v>
      </c>
      <c r="U16" t="str">
        <f t="shared" si="1"/>
        <v>8630832220000000</v>
      </c>
      <c r="V16">
        <f t="shared" si="0"/>
        <v>8630832220000000</v>
      </c>
    </row>
    <row r="17" spans="1:22" x14ac:dyDescent="0.15">
      <c r="A17" t="s">
        <v>409</v>
      </c>
      <c r="B17" t="s">
        <v>410</v>
      </c>
      <c r="C17" t="s">
        <v>411</v>
      </c>
      <c r="D17" t="s">
        <v>412</v>
      </c>
      <c r="E17" t="s">
        <v>413</v>
      </c>
      <c r="F17" t="s">
        <v>414</v>
      </c>
      <c r="G17" t="s">
        <v>415</v>
      </c>
      <c r="H17" t="s">
        <v>416</v>
      </c>
      <c r="I17" t="s">
        <v>417</v>
      </c>
      <c r="J17" t="s">
        <v>418</v>
      </c>
      <c r="K17" t="s">
        <v>419</v>
      </c>
      <c r="L17" t="s">
        <v>420</v>
      </c>
      <c r="M17" t="s">
        <v>421</v>
      </c>
      <c r="N17" t="s">
        <v>422</v>
      </c>
      <c r="O17" t="s">
        <v>423</v>
      </c>
      <c r="P17" t="s">
        <v>424</v>
      </c>
      <c r="Q17" t="s">
        <v>425</v>
      </c>
      <c r="R17" t="s">
        <v>426</v>
      </c>
      <c r="T17" s="6">
        <v>8879598310000010</v>
      </c>
      <c r="U17" t="str">
        <f t="shared" si="1"/>
        <v>8879598310000010</v>
      </c>
      <c r="V17">
        <f t="shared" si="0"/>
        <v>8879598310000010</v>
      </c>
    </row>
    <row r="18" spans="1:22" x14ac:dyDescent="0.15">
      <c r="A18" t="s">
        <v>427</v>
      </c>
      <c r="B18" t="s">
        <v>428</v>
      </c>
      <c r="C18" t="s">
        <v>429</v>
      </c>
      <c r="D18" t="s">
        <v>430</v>
      </c>
      <c r="E18" t="s">
        <v>431</v>
      </c>
      <c r="F18" t="s">
        <v>432</v>
      </c>
      <c r="G18" t="s">
        <v>433</v>
      </c>
      <c r="H18" t="s">
        <v>434</v>
      </c>
      <c r="I18" t="s">
        <v>435</v>
      </c>
      <c r="J18">
        <v>1514.9</v>
      </c>
      <c r="K18" t="s">
        <v>436</v>
      </c>
      <c r="L18" t="s">
        <v>437</v>
      </c>
      <c r="M18" t="s">
        <v>438</v>
      </c>
      <c r="N18" t="s">
        <v>439</v>
      </c>
      <c r="O18" t="s">
        <v>440</v>
      </c>
      <c r="P18" t="s">
        <v>441</v>
      </c>
      <c r="Q18" t="s">
        <v>442</v>
      </c>
      <c r="R18" t="s">
        <v>443</v>
      </c>
      <c r="T18" s="6" t="s">
        <v>444</v>
      </c>
      <c r="U18" t="str">
        <f t="shared" si="1"/>
        <v>3179028,71</v>
      </c>
      <c r="V18">
        <f t="shared" si="0"/>
        <v>3179028.71</v>
      </c>
    </row>
    <row r="19" spans="1:22" x14ac:dyDescent="0.15">
      <c r="A19" t="s">
        <v>445</v>
      </c>
      <c r="B19" t="s">
        <v>446</v>
      </c>
      <c r="C19" t="s">
        <v>447</v>
      </c>
      <c r="D19" t="s">
        <v>448</v>
      </c>
      <c r="E19" t="s">
        <v>449</v>
      </c>
      <c r="F19" t="s">
        <v>450</v>
      </c>
      <c r="G19" t="s">
        <v>451</v>
      </c>
      <c r="H19" t="s">
        <v>452</v>
      </c>
      <c r="I19" t="s">
        <v>453</v>
      </c>
      <c r="J19">
        <v>1209.4000000000001</v>
      </c>
      <c r="K19" t="s">
        <v>454</v>
      </c>
      <c r="L19" t="s">
        <v>455</v>
      </c>
      <c r="M19" t="s">
        <v>456</v>
      </c>
      <c r="N19" t="s">
        <v>457</v>
      </c>
      <c r="O19" t="s">
        <v>458</v>
      </c>
      <c r="P19" t="s">
        <v>459</v>
      </c>
      <c r="Q19" t="s">
        <v>460</v>
      </c>
      <c r="R19" t="s">
        <v>461</v>
      </c>
      <c r="T19" s="6" t="s">
        <v>462</v>
      </c>
      <c r="U19" t="str">
        <f t="shared" si="1"/>
        <v>5012711,1</v>
      </c>
      <c r="V19">
        <f t="shared" si="0"/>
        <v>5012711.0999999996</v>
      </c>
    </row>
    <row r="20" spans="1:22" x14ac:dyDescent="0.15">
      <c r="A20" t="s">
        <v>463</v>
      </c>
      <c r="B20" t="s">
        <v>464</v>
      </c>
      <c r="C20" t="s">
        <v>465</v>
      </c>
      <c r="D20" t="s">
        <v>466</v>
      </c>
      <c r="E20" t="s">
        <v>467</v>
      </c>
      <c r="F20" t="s">
        <v>468</v>
      </c>
      <c r="G20" t="s">
        <v>469</v>
      </c>
      <c r="H20" t="s">
        <v>470</v>
      </c>
      <c r="I20" t="s">
        <v>471</v>
      </c>
      <c r="J20" t="s">
        <v>472</v>
      </c>
      <c r="K20" t="s">
        <v>473</v>
      </c>
      <c r="L20" t="s">
        <v>474</v>
      </c>
      <c r="M20" t="s">
        <v>475</v>
      </c>
      <c r="N20" t="s">
        <v>476</v>
      </c>
      <c r="O20" t="s">
        <v>477</v>
      </c>
      <c r="P20" t="s">
        <v>478</v>
      </c>
      <c r="Q20" t="s">
        <v>479</v>
      </c>
      <c r="R20" t="s">
        <v>480</v>
      </c>
      <c r="T20" s="6">
        <v>2826870449999990</v>
      </c>
      <c r="U20" t="str">
        <f t="shared" si="1"/>
        <v>2826870449999990</v>
      </c>
      <c r="V20">
        <f t="shared" si="0"/>
        <v>2826870449999990</v>
      </c>
    </row>
    <row r="21" spans="1:22" x14ac:dyDescent="0.15">
      <c r="A21" t="s">
        <v>481</v>
      </c>
      <c r="B21" t="s">
        <v>482</v>
      </c>
      <c r="C21" t="s">
        <v>483</v>
      </c>
      <c r="D21" t="s">
        <v>484</v>
      </c>
      <c r="E21" t="s">
        <v>485</v>
      </c>
      <c r="F21" t="s">
        <v>486</v>
      </c>
      <c r="G21" t="s">
        <v>487</v>
      </c>
      <c r="H21" t="s">
        <v>488</v>
      </c>
      <c r="I21" t="s">
        <v>489</v>
      </c>
      <c r="J21" t="s">
        <v>490</v>
      </c>
      <c r="K21" t="s">
        <v>491</v>
      </c>
      <c r="L21" t="s">
        <v>492</v>
      </c>
      <c r="M21" t="s">
        <v>493</v>
      </c>
      <c r="N21" t="s">
        <v>494</v>
      </c>
      <c r="O21" t="s">
        <v>495</v>
      </c>
      <c r="P21" t="s">
        <v>496</v>
      </c>
      <c r="Q21" t="s">
        <v>497</v>
      </c>
      <c r="R21" t="s">
        <v>498</v>
      </c>
      <c r="T21" s="6" t="s">
        <v>499</v>
      </c>
      <c r="U21" t="str">
        <f t="shared" si="1"/>
        <v>13662122,3</v>
      </c>
      <c r="V21">
        <f t="shared" si="0"/>
        <v>13662122.300000001</v>
      </c>
    </row>
    <row r="22" spans="1:22" ht="14" x14ac:dyDescent="0.15">
      <c r="A22" t="s">
        <v>500</v>
      </c>
      <c r="B22" t="s">
        <v>501</v>
      </c>
      <c r="C22" t="s">
        <v>502</v>
      </c>
      <c r="D22" t="s">
        <v>503</v>
      </c>
      <c r="E22" t="s">
        <v>504</v>
      </c>
      <c r="F22" t="s">
        <v>505</v>
      </c>
      <c r="G22" t="s">
        <v>506</v>
      </c>
      <c r="H22" t="s">
        <v>507</v>
      </c>
      <c r="I22" t="s">
        <v>508</v>
      </c>
      <c r="J22" t="s">
        <v>509</v>
      </c>
      <c r="K22" t="s">
        <v>510</v>
      </c>
      <c r="L22" t="s">
        <v>511</v>
      </c>
      <c r="M22" t="s">
        <v>512</v>
      </c>
      <c r="N22" t="s">
        <v>513</v>
      </c>
      <c r="O22" t="s">
        <v>514</v>
      </c>
      <c r="P22" t="s">
        <v>515</v>
      </c>
      <c r="Q22" t="s">
        <v>516</v>
      </c>
      <c r="R22" t="s">
        <v>517</v>
      </c>
      <c r="T22" s="10">
        <v>5.5138442299999904E+16</v>
      </c>
      <c r="U22" t="str">
        <f t="shared" si="1"/>
        <v>55138442299999900</v>
      </c>
      <c r="V22">
        <f t="shared" si="0"/>
        <v>5.5138442299999904E+16</v>
      </c>
    </row>
    <row r="23" spans="1:22" x14ac:dyDescent="0.15">
      <c r="A23" t="s">
        <v>466</v>
      </c>
      <c r="B23" t="s">
        <v>518</v>
      </c>
      <c r="C23" t="s">
        <v>519</v>
      </c>
      <c r="D23" t="s">
        <v>520</v>
      </c>
      <c r="E23" t="s">
        <v>521</v>
      </c>
      <c r="F23" t="s">
        <v>522</v>
      </c>
      <c r="G23" t="s">
        <v>523</v>
      </c>
      <c r="H23" t="s">
        <v>524</v>
      </c>
      <c r="I23" t="s">
        <v>525</v>
      </c>
      <c r="J23" t="s">
        <v>526</v>
      </c>
      <c r="K23" t="s">
        <v>527</v>
      </c>
      <c r="L23" t="s">
        <v>528</v>
      </c>
      <c r="M23" t="s">
        <v>529</v>
      </c>
      <c r="N23" t="s">
        <v>530</v>
      </c>
      <c r="O23" t="s">
        <v>531</v>
      </c>
      <c r="P23" t="s">
        <v>532</v>
      </c>
      <c r="Q23" t="s">
        <v>533</v>
      </c>
      <c r="R23" t="s">
        <v>534</v>
      </c>
      <c r="T23" s="6" t="s">
        <v>535</v>
      </c>
      <c r="U23" t="str">
        <f t="shared" si="1"/>
        <v>1248778,48</v>
      </c>
      <c r="V23">
        <f t="shared" si="0"/>
        <v>1248778.48</v>
      </c>
    </row>
    <row r="24" spans="1:22" x14ac:dyDescent="0.15">
      <c r="A24" t="s">
        <v>536</v>
      </c>
      <c r="B24" t="s">
        <v>537</v>
      </c>
      <c r="C24" t="s">
        <v>538</v>
      </c>
      <c r="D24" t="s">
        <v>539</v>
      </c>
      <c r="E24" t="s">
        <v>540</v>
      </c>
      <c r="F24" t="s">
        <v>541</v>
      </c>
      <c r="G24" t="s">
        <v>542</v>
      </c>
      <c r="H24" t="s">
        <v>543</v>
      </c>
      <c r="I24" t="s">
        <v>544</v>
      </c>
      <c r="J24">
        <v>1898.5</v>
      </c>
      <c r="K24" t="s">
        <v>545</v>
      </c>
      <c r="L24" t="s">
        <v>546</v>
      </c>
      <c r="M24" t="s">
        <v>547</v>
      </c>
      <c r="N24" t="s">
        <v>548</v>
      </c>
      <c r="O24" t="s">
        <v>549</v>
      </c>
      <c r="P24" t="s">
        <v>550</v>
      </c>
      <c r="Q24" t="s">
        <v>551</v>
      </c>
      <c r="R24" t="s">
        <v>552</v>
      </c>
      <c r="T24" s="6">
        <v>1.85614458E+16</v>
      </c>
      <c r="U24" t="str">
        <f t="shared" si="1"/>
        <v>18561445800000000</v>
      </c>
      <c r="V24">
        <f t="shared" si="0"/>
        <v>1.85614458E+16</v>
      </c>
    </row>
    <row r="25" spans="1:22" x14ac:dyDescent="0.15">
      <c r="A25" t="s">
        <v>553</v>
      </c>
      <c r="B25" t="s">
        <v>554</v>
      </c>
      <c r="C25" t="s">
        <v>555</v>
      </c>
      <c r="D25" t="s">
        <v>556</v>
      </c>
      <c r="E25" t="s">
        <v>557</v>
      </c>
      <c r="F25" t="s">
        <v>558</v>
      </c>
      <c r="G25" t="s">
        <v>489</v>
      </c>
      <c r="H25" t="s">
        <v>559</v>
      </c>
      <c r="I25" t="s">
        <v>560</v>
      </c>
      <c r="J25" t="s">
        <v>561</v>
      </c>
      <c r="K25" t="s">
        <v>562</v>
      </c>
      <c r="L25" t="s">
        <v>563</v>
      </c>
      <c r="M25" t="s">
        <v>564</v>
      </c>
      <c r="N25" t="s">
        <v>565</v>
      </c>
      <c r="O25" t="s">
        <v>566</v>
      </c>
      <c r="P25" t="s">
        <v>567</v>
      </c>
      <c r="Q25" t="s">
        <v>568</v>
      </c>
      <c r="R25" t="s">
        <v>569</v>
      </c>
      <c r="T25" s="6">
        <v>6221943919999990</v>
      </c>
      <c r="U25" t="str">
        <f t="shared" si="1"/>
        <v>6221943919999990</v>
      </c>
      <c r="V25">
        <f t="shared" si="0"/>
        <v>6221943919999990</v>
      </c>
    </row>
    <row r="26" spans="1:22" x14ac:dyDescent="0.15">
      <c r="A26" t="s">
        <v>570</v>
      </c>
      <c r="B26" t="s">
        <v>571</v>
      </c>
      <c r="C26" t="s">
        <v>572</v>
      </c>
      <c r="D26" t="s">
        <v>573</v>
      </c>
      <c r="E26" t="s">
        <v>574</v>
      </c>
      <c r="F26" t="s">
        <v>575</v>
      </c>
      <c r="G26" t="s">
        <v>576</v>
      </c>
      <c r="H26" t="s">
        <v>577</v>
      </c>
      <c r="I26" t="s">
        <v>578</v>
      </c>
      <c r="J26" t="s">
        <v>579</v>
      </c>
      <c r="K26" t="s">
        <v>580</v>
      </c>
      <c r="L26" t="s">
        <v>581</v>
      </c>
      <c r="M26" t="s">
        <v>582</v>
      </c>
      <c r="N26" t="s">
        <v>583</v>
      </c>
      <c r="O26" t="s">
        <v>584</v>
      </c>
      <c r="P26" t="s">
        <v>585</v>
      </c>
      <c r="Q26" t="s">
        <v>586</v>
      </c>
      <c r="R26" t="s">
        <v>587</v>
      </c>
      <c r="T26" s="6">
        <v>1.09897756299999E+16</v>
      </c>
      <c r="U26" t="str">
        <f t="shared" si="1"/>
        <v>10989775629999900</v>
      </c>
      <c r="V26">
        <f t="shared" si="0"/>
        <v>1.09897756299999E+16</v>
      </c>
    </row>
    <row r="27" spans="1:22" x14ac:dyDescent="0.15">
      <c r="A27" t="s">
        <v>588</v>
      </c>
      <c r="B27" t="s">
        <v>589</v>
      </c>
      <c r="C27" t="s">
        <v>590</v>
      </c>
      <c r="D27" t="s">
        <v>591</v>
      </c>
      <c r="E27" t="s">
        <v>592</v>
      </c>
      <c r="F27" t="s">
        <v>593</v>
      </c>
      <c r="G27" t="s">
        <v>594</v>
      </c>
      <c r="H27" t="s">
        <v>595</v>
      </c>
      <c r="I27" t="s">
        <v>596</v>
      </c>
      <c r="J27" t="s">
        <v>597</v>
      </c>
      <c r="K27" t="s">
        <v>598</v>
      </c>
      <c r="L27" t="s">
        <v>599</v>
      </c>
      <c r="M27" t="s">
        <v>600</v>
      </c>
      <c r="N27" t="s">
        <v>601</v>
      </c>
      <c r="O27" t="s">
        <v>602</v>
      </c>
      <c r="P27" t="s">
        <v>603</v>
      </c>
      <c r="Q27" t="s">
        <v>604</v>
      </c>
      <c r="R27" t="s">
        <v>605</v>
      </c>
      <c r="T27" s="6">
        <v>4684924210000000</v>
      </c>
      <c r="U27" t="str">
        <f t="shared" si="1"/>
        <v>4684924210000000</v>
      </c>
      <c r="V27">
        <f t="shared" si="0"/>
        <v>4684924210000000</v>
      </c>
    </row>
    <row r="28" spans="1:22" x14ac:dyDescent="0.15">
      <c r="A28" t="s">
        <v>606</v>
      </c>
      <c r="B28" t="s">
        <v>607</v>
      </c>
      <c r="C28" t="s">
        <v>608</v>
      </c>
      <c r="D28" t="s">
        <v>609</v>
      </c>
      <c r="E28" t="s">
        <v>610</v>
      </c>
      <c r="F28" t="s">
        <v>611</v>
      </c>
      <c r="G28" t="s">
        <v>612</v>
      </c>
      <c r="H28" t="s">
        <v>613</v>
      </c>
      <c r="I28" t="s">
        <v>614</v>
      </c>
      <c r="J28" t="s">
        <v>615</v>
      </c>
      <c r="K28">
        <v>2394</v>
      </c>
      <c r="L28" t="s">
        <v>616</v>
      </c>
      <c r="M28" t="s">
        <v>617</v>
      </c>
      <c r="N28" t="s">
        <v>618</v>
      </c>
      <c r="O28" t="s">
        <v>619</v>
      </c>
      <c r="P28" t="s">
        <v>620</v>
      </c>
      <c r="Q28" t="s">
        <v>621</v>
      </c>
      <c r="R28" t="s">
        <v>622</v>
      </c>
      <c r="T28" s="6">
        <v>2.90312519E+16</v>
      </c>
      <c r="U28" t="str">
        <f t="shared" si="1"/>
        <v>29031251900000000</v>
      </c>
      <c r="V28">
        <f t="shared" si="0"/>
        <v>2.90312519E+16</v>
      </c>
    </row>
    <row r="29" spans="1:22" x14ac:dyDescent="0.15">
      <c r="A29" t="s">
        <v>623</v>
      </c>
      <c r="B29" t="s">
        <v>624</v>
      </c>
      <c r="C29" t="s">
        <v>625</v>
      </c>
      <c r="D29" t="s">
        <v>492</v>
      </c>
      <c r="E29" t="s">
        <v>626</v>
      </c>
      <c r="F29" t="s">
        <v>627</v>
      </c>
      <c r="G29" t="s">
        <v>628</v>
      </c>
      <c r="H29" t="s">
        <v>629</v>
      </c>
      <c r="I29" t="s">
        <v>630</v>
      </c>
      <c r="J29" t="s">
        <v>631</v>
      </c>
      <c r="K29" t="s">
        <v>632</v>
      </c>
      <c r="L29" t="s">
        <v>633</v>
      </c>
      <c r="M29" t="s">
        <v>634</v>
      </c>
      <c r="N29" t="s">
        <v>635</v>
      </c>
      <c r="O29" t="s">
        <v>636</v>
      </c>
      <c r="P29" t="s">
        <v>637</v>
      </c>
      <c r="Q29" t="s">
        <v>638</v>
      </c>
      <c r="R29" t="s">
        <v>639</v>
      </c>
      <c r="T29" s="6" t="s">
        <v>640</v>
      </c>
      <c r="U29" t="str">
        <f t="shared" si="1"/>
        <v>8055894,07</v>
      </c>
      <c r="V29">
        <f t="shared" si="0"/>
        <v>8055894.0700000003</v>
      </c>
    </row>
    <row r="30" spans="1:22" x14ac:dyDescent="0.15">
      <c r="A30" t="s">
        <v>641</v>
      </c>
      <c r="B30" t="s">
        <v>642</v>
      </c>
      <c r="C30" t="s">
        <v>643</v>
      </c>
      <c r="D30" t="s">
        <v>644</v>
      </c>
      <c r="E30" t="s">
        <v>645</v>
      </c>
      <c r="F30" t="s">
        <v>646</v>
      </c>
      <c r="G30" t="s">
        <v>647</v>
      </c>
      <c r="H30" t="s">
        <v>648</v>
      </c>
      <c r="I30" t="s">
        <v>649</v>
      </c>
      <c r="J30" t="s">
        <v>650</v>
      </c>
      <c r="K30" t="s">
        <v>651</v>
      </c>
      <c r="L30" t="s">
        <v>652</v>
      </c>
      <c r="M30" t="s">
        <v>653</v>
      </c>
      <c r="N30" t="s">
        <v>654</v>
      </c>
      <c r="O30" t="s">
        <v>655</v>
      </c>
      <c r="P30" t="s">
        <v>656</v>
      </c>
      <c r="Q30" t="s">
        <v>657</v>
      </c>
      <c r="R30" t="s">
        <v>658</v>
      </c>
      <c r="T30" s="6">
        <v>1.33834132999999E+16</v>
      </c>
      <c r="U30" t="str">
        <f t="shared" si="1"/>
        <v>13383413299999900</v>
      </c>
      <c r="V30">
        <f t="shared" si="0"/>
        <v>1.33834132999999E+16</v>
      </c>
    </row>
    <row r="31" spans="1:22" x14ac:dyDescent="0.15">
      <c r="A31" t="s">
        <v>659</v>
      </c>
      <c r="B31" t="s">
        <v>660</v>
      </c>
      <c r="C31" t="s">
        <v>661</v>
      </c>
      <c r="D31" t="s">
        <v>662</v>
      </c>
      <c r="E31" t="s">
        <v>663</v>
      </c>
      <c r="F31" t="s">
        <v>664</v>
      </c>
      <c r="G31" t="s">
        <v>665</v>
      </c>
      <c r="H31" t="s">
        <v>666</v>
      </c>
      <c r="I31" t="s">
        <v>667</v>
      </c>
      <c r="J31" t="s">
        <v>668</v>
      </c>
      <c r="K31" t="s">
        <v>669</v>
      </c>
      <c r="L31" t="s">
        <v>670</v>
      </c>
      <c r="M31" t="s">
        <v>671</v>
      </c>
      <c r="N31" t="s">
        <v>672</v>
      </c>
      <c r="O31" t="s">
        <v>673</v>
      </c>
      <c r="P31" t="s">
        <v>674</v>
      </c>
      <c r="Q31" t="s">
        <v>675</v>
      </c>
      <c r="R31" t="s">
        <v>676</v>
      </c>
      <c r="T31" s="6">
        <v>2.54054144899999E+16</v>
      </c>
      <c r="U31" t="str">
        <f t="shared" si="1"/>
        <v>25405414489999900</v>
      </c>
      <c r="V31">
        <f t="shared" si="0"/>
        <v>2.54054144899999E+16</v>
      </c>
    </row>
    <row r="32" spans="1:22" x14ac:dyDescent="0.15">
      <c r="A32" t="s">
        <v>677</v>
      </c>
      <c r="B32" t="s">
        <v>678</v>
      </c>
      <c r="C32" t="s">
        <v>358</v>
      </c>
      <c r="D32" t="s">
        <v>679</v>
      </c>
      <c r="E32" t="s">
        <v>680</v>
      </c>
      <c r="F32" t="s">
        <v>681</v>
      </c>
      <c r="G32" t="s">
        <v>682</v>
      </c>
      <c r="H32" t="s">
        <v>683</v>
      </c>
      <c r="I32" t="s">
        <v>684</v>
      </c>
      <c r="J32" t="s">
        <v>685</v>
      </c>
      <c r="K32" t="s">
        <v>686</v>
      </c>
      <c r="L32" t="s">
        <v>687</v>
      </c>
      <c r="M32" t="s">
        <v>688</v>
      </c>
      <c r="N32" t="s">
        <v>689</v>
      </c>
      <c r="O32" t="s">
        <v>690</v>
      </c>
      <c r="P32" t="s">
        <v>691</v>
      </c>
      <c r="Q32" t="s">
        <v>692</v>
      </c>
      <c r="R32" t="s">
        <v>693</v>
      </c>
      <c r="T32" s="6" t="s">
        <v>694</v>
      </c>
      <c r="U32" t="str">
        <f t="shared" si="1"/>
        <v>5096405,15</v>
      </c>
      <c r="V32">
        <f t="shared" si="0"/>
        <v>5096405.1500000004</v>
      </c>
    </row>
    <row r="33" spans="1:22" x14ac:dyDescent="0.15">
      <c r="A33" t="s">
        <v>695</v>
      </c>
      <c r="B33" t="s">
        <v>696</v>
      </c>
      <c r="C33" t="s">
        <v>697</v>
      </c>
      <c r="D33" t="s">
        <v>698</v>
      </c>
      <c r="E33" t="s">
        <v>699</v>
      </c>
      <c r="F33" t="s">
        <v>700</v>
      </c>
      <c r="G33" t="s">
        <v>701</v>
      </c>
      <c r="H33" t="s">
        <v>702</v>
      </c>
      <c r="I33" t="s">
        <v>703</v>
      </c>
      <c r="J33" t="s">
        <v>704</v>
      </c>
      <c r="K33" t="s">
        <v>705</v>
      </c>
      <c r="L33" t="s">
        <v>706</v>
      </c>
      <c r="M33" t="s">
        <v>707</v>
      </c>
      <c r="N33" t="s">
        <v>708</v>
      </c>
      <c r="O33" t="s">
        <v>709</v>
      </c>
      <c r="P33" t="s">
        <v>710</v>
      </c>
      <c r="Q33" t="s">
        <v>711</v>
      </c>
      <c r="R33" t="s">
        <v>712</v>
      </c>
      <c r="T33" s="6">
        <v>3.98180832E+16</v>
      </c>
      <c r="U33" t="str">
        <f t="shared" si="1"/>
        <v>39818083200000000</v>
      </c>
      <c r="V33">
        <f t="shared" si="0"/>
        <v>3.98180832E+16</v>
      </c>
    </row>
    <row r="34" spans="1:22" x14ac:dyDescent="0.15">
      <c r="A34" s="7" t="s">
        <v>713</v>
      </c>
      <c r="B34" s="7" t="s">
        <v>714</v>
      </c>
      <c r="C34" s="7" t="s">
        <v>715</v>
      </c>
      <c r="D34" s="7" t="s">
        <v>716</v>
      </c>
      <c r="E34" s="7" t="s">
        <v>717</v>
      </c>
      <c r="F34" s="7" t="s">
        <v>718</v>
      </c>
      <c r="G34" s="7" t="s">
        <v>719</v>
      </c>
      <c r="H34" s="7" t="s">
        <v>578</v>
      </c>
      <c r="I34" s="7" t="s">
        <v>720</v>
      </c>
      <c r="J34" s="7" t="s">
        <v>721</v>
      </c>
      <c r="K34" s="7" t="s">
        <v>722</v>
      </c>
      <c r="L34" s="7" t="s">
        <v>723</v>
      </c>
      <c r="M34" s="7" t="s">
        <v>724</v>
      </c>
      <c r="N34" s="7">
        <v>781.6</v>
      </c>
      <c r="O34" s="7" t="s">
        <v>725</v>
      </c>
      <c r="P34" s="7" t="s">
        <v>726</v>
      </c>
      <c r="Q34" s="7" t="s">
        <v>727</v>
      </c>
      <c r="R34" t="s">
        <v>728</v>
      </c>
      <c r="T34" s="6" t="s">
        <v>729</v>
      </c>
      <c r="U34" t="str">
        <f t="shared" si="1"/>
        <v xml:space="preserve"> </v>
      </c>
      <c r="V34">
        <f t="shared" si="0"/>
        <v>0</v>
      </c>
    </row>
    <row r="35" spans="1:22" x14ac:dyDescent="0.15">
      <c r="T35" s="6">
        <v>4028105819999990</v>
      </c>
      <c r="U35" t="str">
        <f t="shared" si="1"/>
        <v>4028105819999990</v>
      </c>
      <c r="V35">
        <f t="shared" si="0"/>
        <v>4028105819999990</v>
      </c>
    </row>
    <row r="36" spans="1:22" ht="13" customHeight="1" x14ac:dyDescent="0.15">
      <c r="A36" s="11" t="s">
        <v>730</v>
      </c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T36" s="6">
        <v>4603381400000000</v>
      </c>
      <c r="U36" t="str">
        <f t="shared" si="1"/>
        <v>4603381400000000</v>
      </c>
      <c r="V36">
        <f t="shared" si="0"/>
        <v>4603381400000000</v>
      </c>
    </row>
    <row r="37" spans="1:22" x14ac:dyDescent="0.15">
      <c r="T37" s="6">
        <v>9564345599999990</v>
      </c>
      <c r="U37" t="str">
        <f t="shared" si="1"/>
        <v>9564345599999990</v>
      </c>
      <c r="V37">
        <f t="shared" si="0"/>
        <v>9564345599999990</v>
      </c>
    </row>
    <row r="38" spans="1:22" x14ac:dyDescent="0.15">
      <c r="T38" s="6" t="s">
        <v>731</v>
      </c>
      <c r="U38" t="str">
        <f t="shared" si="1"/>
        <v>5328911,85</v>
      </c>
      <c r="V38">
        <f t="shared" si="0"/>
        <v>5328911.8499999996</v>
      </c>
    </row>
    <row r="39" spans="1:22" x14ac:dyDescent="0.15">
      <c r="T39" s="6">
        <v>2.96677905999999E+16</v>
      </c>
      <c r="U39" t="str">
        <f t="shared" si="1"/>
        <v>29667790599999900</v>
      </c>
      <c r="V39">
        <f t="shared" si="0"/>
        <v>2.96677905999999E+16</v>
      </c>
    </row>
    <row r="40" spans="1:22" x14ac:dyDescent="0.15">
      <c r="A40" t="str">
        <f>SUBSTITUTE(A2,".",",")</f>
        <v>711,3</v>
      </c>
      <c r="B40" t="str">
        <f t="shared" ref="B40:R55" si="2">SUBSTITUTE(B2,".",",")</f>
        <v>509,3</v>
      </c>
      <c r="C40" t="str">
        <f t="shared" si="2"/>
        <v xml:space="preserve"> 655,1</v>
      </c>
      <c r="D40" t="str">
        <f t="shared" si="2"/>
        <v xml:space="preserve"> 582,2</v>
      </c>
      <c r="E40" t="str">
        <f t="shared" si="2"/>
        <v xml:space="preserve"> 656,9</v>
      </c>
      <c r="F40" t="str">
        <f t="shared" si="2"/>
        <v>414,9</v>
      </c>
      <c r="G40" t="str">
        <f t="shared" si="2"/>
        <v>493,1</v>
      </c>
      <c r="H40" t="str">
        <f t="shared" si="2"/>
        <v>257,8</v>
      </c>
      <c r="I40" t="str">
        <f t="shared" si="2"/>
        <v>447,7</v>
      </c>
      <c r="J40" t="str">
        <f t="shared" si="2"/>
        <v>756,</v>
      </c>
      <c r="K40" t="str">
        <f t="shared" si="2"/>
        <v>534,7</v>
      </c>
      <c r="L40" t="str">
        <f t="shared" si="2"/>
        <v>836,7</v>
      </c>
      <c r="M40" t="str">
        <f t="shared" si="2"/>
        <v>574,9</v>
      </c>
      <c r="N40" t="str">
        <f t="shared" si="2"/>
        <v>579,4</v>
      </c>
      <c r="O40" t="str">
        <f t="shared" si="2"/>
        <v>768,7</v>
      </c>
      <c r="P40" t="str">
        <f t="shared" si="2"/>
        <v>453,1</v>
      </c>
      <c r="Q40" t="str">
        <f t="shared" si="2"/>
        <v>498,1</v>
      </c>
      <c r="R40" t="str">
        <f t="shared" si="2"/>
        <v xml:space="preserve"> 672,3</v>
      </c>
      <c r="T40" s="6">
        <v>1.19523209899999E+16</v>
      </c>
      <c r="U40" t="str">
        <f t="shared" si="1"/>
        <v>11952320989999900</v>
      </c>
      <c r="V40">
        <f t="shared" si="0"/>
        <v>1.19523209899999E+16</v>
      </c>
    </row>
    <row r="41" spans="1:22" x14ac:dyDescent="0.15">
      <c r="A41" t="str">
        <f>SUBSTITUTE(A3,".",",")</f>
        <v xml:space="preserve">  357,5</v>
      </c>
      <c r="B41" t="str">
        <f t="shared" ref="A41:P71" si="3">SUBSTITUTE(B3,".",",")</f>
        <v xml:space="preserve">  184,6</v>
      </c>
      <c r="C41" t="str">
        <f t="shared" si="3"/>
        <v xml:space="preserve">  110,5</v>
      </c>
      <c r="D41" t="str">
        <f t="shared" si="3"/>
        <v xml:space="preserve">  105,5</v>
      </c>
      <c r="E41" t="str">
        <f t="shared" si="3"/>
        <v xml:space="preserve">  261,2</v>
      </c>
      <c r="F41" t="str">
        <f t="shared" si="3"/>
        <v xml:space="preserve">  115,4</v>
      </c>
      <c r="G41" t="str">
        <f t="shared" si="3"/>
        <v xml:space="preserve">  297,4</v>
      </c>
      <c r="H41" t="str">
        <f t="shared" si="3"/>
        <v xml:space="preserve">  206,8</v>
      </c>
      <c r="I41" t="str">
        <f t="shared" si="3"/>
        <v xml:space="preserve">  150,3</v>
      </c>
      <c r="J41" t="str">
        <f t="shared" si="3"/>
        <v>193,8</v>
      </c>
      <c r="K41" t="str">
        <f t="shared" si="3"/>
        <v>85,1</v>
      </c>
      <c r="L41" t="str">
        <f t="shared" si="3"/>
        <v>262,9</v>
      </c>
      <c r="M41" t="str">
        <f t="shared" si="3"/>
        <v>219,</v>
      </c>
      <c r="N41" t="str">
        <f t="shared" si="3"/>
        <v>131,8</v>
      </c>
      <c r="O41" t="str">
        <f t="shared" si="3"/>
        <v>125,3</v>
      </c>
      <c r="P41" t="str">
        <f t="shared" si="3"/>
        <v>206,1</v>
      </c>
      <c r="Q41" t="str">
        <f t="shared" si="2"/>
        <v xml:space="preserve"> 103,5</v>
      </c>
      <c r="R41" t="str">
        <f t="shared" ref="R41" si="4">SUBSTITUTE(R3,".",",")</f>
        <v xml:space="preserve">  99,1</v>
      </c>
      <c r="T41" s="6" t="s">
        <v>732</v>
      </c>
      <c r="U41" t="str">
        <f t="shared" si="1"/>
        <v>5086049,28</v>
      </c>
      <c r="V41">
        <f t="shared" si="0"/>
        <v>5086049.28</v>
      </c>
    </row>
    <row r="42" spans="1:22" x14ac:dyDescent="0.15">
      <c r="A42" t="str">
        <f t="shared" si="3"/>
        <v xml:space="preserve">  203,4</v>
      </c>
      <c r="B42" t="str">
        <f t="shared" si="2"/>
        <v xml:space="preserve">  189,9</v>
      </c>
      <c r="C42" t="str">
        <f t="shared" si="2"/>
        <v xml:space="preserve">  130,9</v>
      </c>
      <c r="D42" t="str">
        <f t="shared" si="2"/>
        <v xml:space="preserve">  310,0</v>
      </c>
      <c r="E42" t="str">
        <f t="shared" si="2"/>
        <v xml:space="preserve">  166,8</v>
      </c>
      <c r="F42" t="str">
        <f t="shared" si="2"/>
        <v xml:space="preserve">  225,6</v>
      </c>
      <c r="G42" t="str">
        <f t="shared" si="2"/>
        <v xml:space="preserve">  109,3</v>
      </c>
      <c r="H42" t="str">
        <f t="shared" si="2"/>
        <v xml:space="preserve">   69,4</v>
      </c>
      <c r="I42" t="str">
        <f t="shared" si="2"/>
        <v xml:space="preserve">  305,9</v>
      </c>
      <c r="J42" t="str">
        <f t="shared" si="2"/>
        <v>229,</v>
      </c>
      <c r="K42" t="str">
        <f t="shared" si="2"/>
        <v>334,7</v>
      </c>
      <c r="L42" t="str">
        <f t="shared" si="2"/>
        <v>361,7</v>
      </c>
      <c r="M42" t="str">
        <f t="shared" si="2"/>
        <v>200,</v>
      </c>
      <c r="N42" t="str">
        <f t="shared" si="2"/>
        <v>174,8</v>
      </c>
      <c r="O42" t="str">
        <f t="shared" si="2"/>
        <v>163,2</v>
      </c>
      <c r="P42" t="str">
        <f t="shared" si="2"/>
        <v>270,6</v>
      </c>
      <c r="Q42" t="str">
        <f t="shared" si="2"/>
        <v xml:space="preserve"> 103,0</v>
      </c>
      <c r="R42" t="str">
        <f t="shared" ref="R42" si="5">SUBSTITUTE(R4,".",",")</f>
        <v xml:space="preserve"> 173,5</v>
      </c>
      <c r="T42" s="6" t="s">
        <v>733</v>
      </c>
      <c r="U42" t="str">
        <f t="shared" si="1"/>
        <v>411339,12</v>
      </c>
      <c r="V42">
        <f t="shared" si="0"/>
        <v>411339.12</v>
      </c>
    </row>
    <row r="43" spans="1:22" x14ac:dyDescent="0.15">
      <c r="A43" t="str">
        <f>SUBSTITUTE(A5,".",",")</f>
        <v>1225,2</v>
      </c>
      <c r="B43" t="str">
        <f t="shared" si="2"/>
        <v>1790,4</v>
      </c>
      <c r="C43" t="str">
        <f t="shared" si="2"/>
        <v>1533,5</v>
      </c>
      <c r="D43" t="str">
        <f t="shared" si="2"/>
        <v>1307,1</v>
      </c>
      <c r="E43" t="str">
        <f t="shared" si="2"/>
        <v>1560,0</v>
      </c>
      <c r="F43" t="str">
        <f t="shared" si="2"/>
        <v>1133,5</v>
      </c>
      <c r="G43" t="str">
        <f t="shared" si="2"/>
        <v>1425,2</v>
      </c>
      <c r="H43" t="str">
        <f t="shared" si="2"/>
        <v>1180,9</v>
      </c>
      <c r="I43" t="str">
        <f t="shared" si="2"/>
        <v>1141,2</v>
      </c>
      <c r="J43" t="str">
        <f t="shared" si="2"/>
        <v>1697,4</v>
      </c>
      <c r="K43" t="str">
        <f t="shared" si="2"/>
        <v>1390,1</v>
      </c>
      <c r="L43" t="str">
        <f t="shared" si="2"/>
        <v>1326,1</v>
      </c>
      <c r="M43" t="str">
        <f t="shared" si="2"/>
        <v>1177,</v>
      </c>
      <c r="N43" t="str">
        <f t="shared" si="2"/>
        <v>1407,3</v>
      </c>
      <c r="O43" t="str">
        <f t="shared" si="2"/>
        <v>1389,8</v>
      </c>
      <c r="P43" t="str">
        <f t="shared" si="2"/>
        <v>1303,2</v>
      </c>
      <c r="Q43" t="str">
        <f t="shared" si="2"/>
        <v>1779,3</v>
      </c>
      <c r="R43" t="str">
        <f t="shared" ref="R43" si="6">SUBSTITUTE(R5,".",",")</f>
        <v>1218,7</v>
      </c>
      <c r="T43" s="6" t="s">
        <v>734</v>
      </c>
      <c r="U43" t="str">
        <f t="shared" si="1"/>
        <v>4948597,15</v>
      </c>
      <c r="V43">
        <f t="shared" si="0"/>
        <v>4948597.1500000004</v>
      </c>
    </row>
    <row r="44" spans="1:22" x14ac:dyDescent="0.15">
      <c r="A44" t="str">
        <f t="shared" si="3"/>
        <v xml:space="preserve">  594,2</v>
      </c>
      <c r="B44" t="str">
        <f t="shared" si="2"/>
        <v xml:space="preserve">  471,1</v>
      </c>
      <c r="C44" t="str">
        <f t="shared" si="2"/>
        <v xml:space="preserve">  320,7</v>
      </c>
      <c r="D44" t="str">
        <f t="shared" si="2"/>
        <v xml:space="preserve">  522,3</v>
      </c>
      <c r="E44" t="str">
        <f t="shared" si="2"/>
        <v xml:space="preserve">  459,0</v>
      </c>
      <c r="F44" t="str">
        <f t="shared" si="2"/>
        <v xml:space="preserve">  330,8</v>
      </c>
      <c r="G44" t="str">
        <f t="shared" si="2"/>
        <v xml:space="preserve">  592,0</v>
      </c>
      <c r="H44" t="str">
        <f t="shared" si="2"/>
        <v xml:space="preserve">  176,0</v>
      </c>
      <c r="I44" t="str">
        <f t="shared" si="2"/>
        <v xml:space="preserve">  323,6</v>
      </c>
      <c r="J44" t="str">
        <f t="shared" si="2"/>
        <v>443,6</v>
      </c>
      <c r="K44" t="str">
        <f t="shared" si="2"/>
        <v>423,8</v>
      </c>
      <c r="L44" t="str">
        <f t="shared" si="2"/>
        <v>525,</v>
      </c>
      <c r="M44" t="str">
        <f t="shared" si="2"/>
        <v>554,8</v>
      </c>
      <c r="N44" t="str">
        <f t="shared" si="2"/>
        <v>358,6</v>
      </c>
      <c r="O44" t="str">
        <f t="shared" si="2"/>
        <v>396,8</v>
      </c>
      <c r="P44" t="str">
        <f t="shared" si="2"/>
        <v>261,5</v>
      </c>
      <c r="Q44" t="str">
        <f t="shared" si="2"/>
        <v xml:space="preserve"> 227,2</v>
      </c>
      <c r="R44" t="str">
        <f t="shared" ref="R44" si="7">SUBSTITUTE(R6,".",",")</f>
        <v xml:space="preserve"> 246,5</v>
      </c>
      <c r="T44" s="6">
        <v>8509812670000000</v>
      </c>
      <c r="U44" t="str">
        <f t="shared" si="1"/>
        <v>8509812670000000</v>
      </c>
      <c r="V44">
        <f t="shared" si="0"/>
        <v>8509812670000000</v>
      </c>
    </row>
    <row r="45" spans="1:22" x14ac:dyDescent="0.15">
      <c r="A45" t="str">
        <f t="shared" si="3"/>
        <v xml:space="preserve">  978,0</v>
      </c>
      <c r="B45" t="str">
        <f t="shared" si="2"/>
        <v xml:space="preserve">  726,1</v>
      </c>
      <c r="C45" t="str">
        <f t="shared" si="2"/>
        <v>1102,8</v>
      </c>
      <c r="D45" t="str">
        <f t="shared" si="2"/>
        <v>1029,1</v>
      </c>
      <c r="E45" t="str">
        <f t="shared" si="2"/>
        <v xml:space="preserve">  933,1</v>
      </c>
      <c r="F45" t="str">
        <f t="shared" si="2"/>
        <v xml:space="preserve">  860,4</v>
      </c>
      <c r="G45" t="str">
        <f t="shared" si="2"/>
        <v>1200,8</v>
      </c>
      <c r="H45" t="str">
        <f t="shared" si="2"/>
        <v>1366,1</v>
      </c>
      <c r="I45" t="str">
        <f t="shared" si="2"/>
        <v xml:space="preserve">  990,6</v>
      </c>
      <c r="J45" t="str">
        <f t="shared" si="2"/>
        <v>1877,1</v>
      </c>
      <c r="K45" t="str">
        <f t="shared" si="2"/>
        <v>1 920,</v>
      </c>
      <c r="L45" t="str">
        <f t="shared" si="2"/>
        <v>1956,7</v>
      </c>
      <c r="M45" t="str">
        <f t="shared" si="2"/>
        <v>1333,2</v>
      </c>
      <c r="N45" t="str">
        <f t="shared" si="2"/>
        <v>1728,9</v>
      </c>
      <c r="O45" t="str">
        <f t="shared" si="2"/>
        <v>1611,7</v>
      </c>
      <c r="P45" t="str">
        <f t="shared" si="2"/>
        <v>1816,7</v>
      </c>
      <c r="Q45" t="str">
        <f t="shared" si="2"/>
        <v>1665,1</v>
      </c>
      <c r="R45" t="str">
        <f t="shared" ref="R45" si="8">SUBSTITUTE(R7,".",",")</f>
        <v>2280,7</v>
      </c>
      <c r="T45" s="6" t="s">
        <v>735</v>
      </c>
      <c r="U45" t="str">
        <f t="shared" si="1"/>
        <v>4227105,78</v>
      </c>
      <c r="V45">
        <f t="shared" si="0"/>
        <v>4227105.78</v>
      </c>
    </row>
    <row r="46" spans="1:22" x14ac:dyDescent="0.15">
      <c r="A46" t="str">
        <f t="shared" si="3"/>
        <v>1713,8</v>
      </c>
      <c r="B46" t="str">
        <f t="shared" si="2"/>
        <v>2190,7</v>
      </c>
      <c r="C46" t="str">
        <f t="shared" si="2"/>
        <v>2354,2</v>
      </c>
      <c r="D46" t="str">
        <f t="shared" si="2"/>
        <v>2302,6</v>
      </c>
      <c r="E46" t="str">
        <f t="shared" si="2"/>
        <v>2354,9</v>
      </c>
      <c r="F46" t="str">
        <f t="shared" si="2"/>
        <v>1953,1</v>
      </c>
      <c r="G46" t="str">
        <f t="shared" si="2"/>
        <v>2730,3</v>
      </c>
      <c r="H46" t="str">
        <f t="shared" si="2"/>
        <v>2381,6</v>
      </c>
      <c r="I46" t="str">
        <f t="shared" si="2"/>
        <v>1885,3</v>
      </c>
      <c r="J46" t="str">
        <f t="shared" si="2"/>
        <v>2278,6</v>
      </c>
      <c r="K46" t="str">
        <f t="shared" si="2"/>
        <v>4056,1</v>
      </c>
      <c r="L46" t="str">
        <f t="shared" si="2"/>
        <v>1741,1</v>
      </c>
      <c r="M46" t="str">
        <f t="shared" si="2"/>
        <v>1614,2</v>
      </c>
      <c r="N46" t="str">
        <f t="shared" si="2"/>
        <v>1994,</v>
      </c>
      <c r="O46" t="str">
        <f t="shared" si="2"/>
        <v>1705,3</v>
      </c>
      <c r="P46" t="str">
        <f t="shared" si="2"/>
        <v>1767,4</v>
      </c>
      <c r="Q46" t="str">
        <f t="shared" si="2"/>
        <v>2167,9</v>
      </c>
      <c r="R46" t="str">
        <f t="shared" ref="R46" si="9">SUBSTITUTE(R8,".",",")</f>
        <v>1807,2</v>
      </c>
      <c r="T46" s="6" t="s">
        <v>736</v>
      </c>
      <c r="U46" t="str">
        <f t="shared" si="1"/>
        <v>6688395,94</v>
      </c>
      <c r="V46">
        <f t="shared" si="0"/>
        <v>6688395.9400000004</v>
      </c>
    </row>
    <row r="47" spans="1:22" x14ac:dyDescent="0.15">
      <c r="A47" t="str">
        <f t="shared" si="3"/>
        <v xml:space="preserve">  745,4</v>
      </c>
      <c r="B47" t="str">
        <f t="shared" si="2"/>
        <v xml:space="preserve">  462,5</v>
      </c>
      <c r="C47" t="str">
        <f t="shared" si="2"/>
        <v xml:space="preserve">  607,0</v>
      </c>
      <c r="D47" t="str">
        <f t="shared" si="2"/>
        <v xml:space="preserve">  496,5</v>
      </c>
      <c r="E47" t="str">
        <f t="shared" si="2"/>
        <v xml:space="preserve">  550,1</v>
      </c>
      <c r="F47" t="str">
        <f t="shared" si="2"/>
        <v xml:space="preserve">  468,9</v>
      </c>
      <c r="G47" t="str">
        <f t="shared" si="2"/>
        <v xml:space="preserve">  470,0</v>
      </c>
      <c r="H47" t="str">
        <f t="shared" si="2"/>
        <v xml:space="preserve">  260,5</v>
      </c>
      <c r="I47" t="str">
        <f t="shared" si="2"/>
        <v xml:space="preserve">  471,5</v>
      </c>
      <c r="J47" t="str">
        <f t="shared" si="2"/>
        <v>618,1</v>
      </c>
      <c r="K47" t="str">
        <f t="shared" si="2"/>
        <v>490,</v>
      </c>
      <c r="L47" t="str">
        <f t="shared" si="2"/>
        <v>630,5</v>
      </c>
      <c r="M47" t="str">
        <f t="shared" si="2"/>
        <v>512,5</v>
      </c>
      <c r="N47" t="str">
        <f t="shared" si="2"/>
        <v>453,8</v>
      </c>
      <c r="O47" t="str">
        <f t="shared" si="2"/>
        <v>490,8</v>
      </c>
      <c r="P47" t="str">
        <f t="shared" si="2"/>
        <v>470,3</v>
      </c>
      <c r="Q47" t="str">
        <f t="shared" si="2"/>
        <v xml:space="preserve"> 260,8</v>
      </c>
      <c r="R47" t="str">
        <f t="shared" ref="R47" si="10">SUBSTITUTE(R9,".",",")</f>
        <v xml:space="preserve"> 410,6</v>
      </c>
      <c r="T47" s="6">
        <v>2.376724921E+16</v>
      </c>
      <c r="U47" t="str">
        <f t="shared" si="1"/>
        <v>23767249210000000</v>
      </c>
      <c r="V47">
        <f t="shared" si="0"/>
        <v>2.376724921E+16</v>
      </c>
    </row>
    <row r="48" spans="1:22" x14ac:dyDescent="0.15">
      <c r="A48" t="str">
        <f t="shared" si="3"/>
        <v xml:space="preserve">  728,6</v>
      </c>
      <c r="B48" t="str">
        <f t="shared" si="2"/>
        <v xml:space="preserve">  645,3</v>
      </c>
      <c r="C48" t="str">
        <f t="shared" si="2"/>
        <v xml:space="preserve">  882,4</v>
      </c>
      <c r="D48" t="str">
        <f t="shared" si="2"/>
        <v xml:space="preserve">  866,5</v>
      </c>
      <c r="E48" t="str">
        <f t="shared" si="2"/>
        <v xml:space="preserve">  740,9</v>
      </c>
      <c r="F48" t="str">
        <f t="shared" si="2"/>
        <v xml:space="preserve">  713,1</v>
      </c>
      <c r="G48" t="str">
        <f t="shared" si="2"/>
        <v xml:space="preserve">  697,9</v>
      </c>
      <c r="H48" t="str">
        <f t="shared" si="2"/>
        <v xml:space="preserve">  782,6</v>
      </c>
      <c r="I48" t="str">
        <f t="shared" si="2"/>
        <v xml:space="preserve">  568,9</v>
      </c>
      <c r="J48" t="str">
        <f t="shared" si="2"/>
        <v>697,8</v>
      </c>
      <c r="K48" t="str">
        <f t="shared" si="2"/>
        <v>615,6</v>
      </c>
      <c r="L48" t="str">
        <f t="shared" si="2"/>
        <v>491,8</v>
      </c>
      <c r="M48" t="str">
        <f t="shared" si="2"/>
        <v>655,9</v>
      </c>
      <c r="N48" t="str">
        <f t="shared" si="2"/>
        <v>488,</v>
      </c>
      <c r="O48" t="str">
        <f t="shared" si="2"/>
        <v>786,2</v>
      </c>
      <c r="P48" t="str">
        <f t="shared" si="2"/>
        <v>565,3</v>
      </c>
      <c r="Q48" t="str">
        <f t="shared" si="2"/>
        <v xml:space="preserve"> 469,7</v>
      </c>
      <c r="R48" t="str">
        <f t="shared" ref="R48" si="11">SUBSTITUTE(R10,".",",")</f>
        <v xml:space="preserve"> 637,1</v>
      </c>
      <c r="T48" s="6">
        <v>8515693260000000</v>
      </c>
      <c r="U48" t="str">
        <f t="shared" si="1"/>
        <v>8515693260000000</v>
      </c>
      <c r="V48">
        <f t="shared" si="0"/>
        <v>8515693260000000</v>
      </c>
    </row>
    <row r="49" spans="1:22" x14ac:dyDescent="0.15">
      <c r="A49" t="str">
        <f t="shared" si="3"/>
        <v xml:space="preserve">  644,7</v>
      </c>
      <c r="B49" t="str">
        <f t="shared" si="2"/>
        <v xml:space="preserve">  373,8</v>
      </c>
      <c r="C49" t="str">
        <f t="shared" si="2"/>
        <v xml:space="preserve">  581,9</v>
      </c>
      <c r="D49" t="str">
        <f t="shared" si="2"/>
        <v xml:space="preserve">  429,6</v>
      </c>
      <c r="E49" t="str">
        <f t="shared" si="2"/>
        <v xml:space="preserve">  642,6</v>
      </c>
      <c r="F49" t="str">
        <f t="shared" si="2"/>
        <v xml:space="preserve">  519,4</v>
      </c>
      <c r="G49" t="str">
        <f t="shared" si="2"/>
        <v xml:space="preserve">  559,3</v>
      </c>
      <c r="H49" t="str">
        <f t="shared" si="2"/>
        <v xml:space="preserve">  245,6</v>
      </c>
      <c r="I49" t="str">
        <f t="shared" si="2"/>
        <v xml:space="preserve">  406,3</v>
      </c>
      <c r="J49" t="str">
        <f t="shared" si="2"/>
        <v>516,8</v>
      </c>
      <c r="K49" t="str">
        <f t="shared" si="2"/>
        <v>496,6</v>
      </c>
      <c r="L49" t="str">
        <f t="shared" si="2"/>
        <v>627,1</v>
      </c>
      <c r="M49" t="str">
        <f t="shared" si="2"/>
        <v>509,8</v>
      </c>
      <c r="N49" t="str">
        <f t="shared" si="2"/>
        <v>454,6</v>
      </c>
      <c r="O49" t="str">
        <f t="shared" si="2"/>
        <v>520,5</v>
      </c>
      <c r="P49" t="str">
        <f t="shared" si="2"/>
        <v>428,8</v>
      </c>
      <c r="Q49" t="str">
        <f t="shared" si="2"/>
        <v xml:space="preserve"> 390,4</v>
      </c>
      <c r="R49" t="str">
        <f t="shared" ref="R49" si="12">SUBSTITUTE(R11,".",",")</f>
        <v xml:space="preserve"> 469,9</v>
      </c>
      <c r="T49" s="6">
        <v>8394603529999990</v>
      </c>
      <c r="U49" t="str">
        <f t="shared" si="1"/>
        <v>8394603529999990</v>
      </c>
      <c r="V49">
        <f t="shared" si="0"/>
        <v>8394603529999990</v>
      </c>
    </row>
    <row r="50" spans="1:22" x14ac:dyDescent="0.15">
      <c r="A50" t="str">
        <f t="shared" si="3"/>
        <v xml:space="preserve">  877,9</v>
      </c>
      <c r="B50" t="str">
        <f t="shared" si="2"/>
        <v xml:space="preserve">  510,0</v>
      </c>
      <c r="C50" t="str">
        <f t="shared" si="2"/>
        <v xml:space="preserve">  779,9</v>
      </c>
      <c r="D50" t="str">
        <f t="shared" si="2"/>
        <v xml:space="preserve">  798,7</v>
      </c>
      <c r="E50" t="str">
        <f t="shared" si="2"/>
        <v xml:space="preserve">  732,8</v>
      </c>
      <c r="F50" t="str">
        <f t="shared" si="2"/>
        <v xml:space="preserve">  623,2</v>
      </c>
      <c r="G50" t="str">
        <f t="shared" si="2"/>
        <v xml:space="preserve">  797,7</v>
      </c>
      <c r="H50" t="str">
        <f t="shared" si="2"/>
        <v xml:space="preserve">  378,7</v>
      </c>
      <c r="I50" t="str">
        <f t="shared" si="2"/>
        <v xml:space="preserve">  573,3</v>
      </c>
      <c r="J50" t="str">
        <f t="shared" si="2"/>
        <v>762,1</v>
      </c>
      <c r="K50" t="str">
        <f t="shared" si="2"/>
        <v>679,</v>
      </c>
      <c r="L50" t="str">
        <f t="shared" si="2"/>
        <v>840,8</v>
      </c>
      <c r="M50" t="str">
        <f t="shared" si="2"/>
        <v>691,3</v>
      </c>
      <c r="N50" t="str">
        <f t="shared" si="2"/>
        <v>611,5</v>
      </c>
      <c r="O50" t="str">
        <f t="shared" si="2"/>
        <v>850,3</v>
      </c>
      <c r="P50" t="str">
        <f t="shared" si="2"/>
        <v>553,7</v>
      </c>
      <c r="Q50" t="str">
        <f t="shared" si="2"/>
        <v xml:space="preserve"> 475,5</v>
      </c>
      <c r="R50" t="str">
        <f t="shared" ref="R50" si="13">SUBSTITUTE(R12,".",",")</f>
        <v xml:space="preserve"> 780,3</v>
      </c>
      <c r="T50" s="6" t="s">
        <v>737</v>
      </c>
      <c r="U50" t="str">
        <f t="shared" si="1"/>
        <v>3038711,43</v>
      </c>
      <c r="V50">
        <f t="shared" si="0"/>
        <v>3038711.43</v>
      </c>
    </row>
    <row r="51" spans="1:22" x14ac:dyDescent="0.15">
      <c r="A51" t="str">
        <f t="shared" si="3"/>
        <v>1144,2</v>
      </c>
      <c r="B51" t="str">
        <f t="shared" si="2"/>
        <v>1108,1</v>
      </c>
      <c r="C51" t="str">
        <f t="shared" si="2"/>
        <v>1294,7</v>
      </c>
      <c r="D51" t="str">
        <f t="shared" si="2"/>
        <v>1193,2</v>
      </c>
      <c r="E51" t="str">
        <f t="shared" si="2"/>
        <v>1272,4</v>
      </c>
      <c r="F51" t="str">
        <f t="shared" si="2"/>
        <v xml:space="preserve">  991,1</v>
      </c>
      <c r="G51" t="str">
        <f t="shared" si="2"/>
        <v>1521,0</v>
      </c>
      <c r="H51" t="str">
        <f t="shared" si="2"/>
        <v>1194,4</v>
      </c>
      <c r="I51" t="str">
        <f t="shared" si="2"/>
        <v xml:space="preserve">  961,5</v>
      </c>
      <c r="J51" t="str">
        <f t="shared" si="2"/>
        <v>1270,6</v>
      </c>
      <c r="K51" t="str">
        <f t="shared" si="2"/>
        <v>1223,9</v>
      </c>
      <c r="L51" t="str">
        <f t="shared" si="2"/>
        <v>1003,3</v>
      </c>
      <c r="M51" t="str">
        <f t="shared" si="2"/>
        <v>985,5</v>
      </c>
      <c r="N51" t="str">
        <f t="shared" si="2"/>
        <v>1161,1</v>
      </c>
      <c r="O51" t="str">
        <f t="shared" si="2"/>
        <v>1159,0</v>
      </c>
      <c r="P51" t="str">
        <f t="shared" si="2"/>
        <v>1102,1</v>
      </c>
      <c r="Q51" t="str">
        <f t="shared" si="2"/>
        <v xml:space="preserve"> 928,0</v>
      </c>
      <c r="R51" t="str">
        <f t="shared" ref="R51" si="14">SUBSTITUTE(R13,".",",")</f>
        <v>1278,2</v>
      </c>
      <c r="T51" s="6">
        <v>4734213179999990</v>
      </c>
      <c r="U51" t="str">
        <f t="shared" si="1"/>
        <v>4734213179999990</v>
      </c>
      <c r="V51">
        <f t="shared" si="0"/>
        <v>4734213179999990</v>
      </c>
    </row>
    <row r="52" spans="1:22" x14ac:dyDescent="0.15">
      <c r="A52" t="str">
        <f t="shared" si="3"/>
        <v xml:space="preserve">  629,4</v>
      </c>
      <c r="B52" t="str">
        <f t="shared" si="2"/>
        <v xml:space="preserve">  694,9</v>
      </c>
      <c r="C52" t="str">
        <f t="shared" si="2"/>
        <v xml:space="preserve">  695,1</v>
      </c>
      <c r="D52" t="str">
        <f t="shared" si="2"/>
        <v xml:space="preserve">  891,2</v>
      </c>
      <c r="E52" t="str">
        <f t="shared" si="2"/>
        <v xml:space="preserve">  803,5</v>
      </c>
      <c r="F52" t="str">
        <f t="shared" si="2"/>
        <v xml:space="preserve">  790,4</v>
      </c>
      <c r="G52" t="str">
        <f t="shared" si="2"/>
        <v xml:space="preserve">  938,7</v>
      </c>
      <c r="H52" t="str">
        <f t="shared" si="2"/>
        <v xml:space="preserve">  705,1</v>
      </c>
      <c r="I52" t="str">
        <f t="shared" si="2"/>
        <v xml:space="preserve">  652,4</v>
      </c>
      <c r="J52" t="str">
        <f t="shared" si="2"/>
        <v>796,8</v>
      </c>
      <c r="K52" t="str">
        <f t="shared" si="2"/>
        <v>754,8</v>
      </c>
      <c r="L52" t="str">
        <f t="shared" si="2"/>
        <v>681 4</v>
      </c>
      <c r="M52" t="str">
        <f t="shared" si="2"/>
        <v>694,3</v>
      </c>
      <c r="N52" t="str">
        <f t="shared" si="2"/>
        <v>653,2</v>
      </c>
      <c r="O52" t="str">
        <f t="shared" si="2"/>
        <v>574,</v>
      </c>
      <c r="P52" t="str">
        <f t="shared" si="2"/>
        <v>438,8</v>
      </c>
      <c r="Q52" t="str">
        <f t="shared" si="2"/>
        <v xml:space="preserve"> 501,5</v>
      </c>
      <c r="R52" t="str">
        <f t="shared" ref="R52" si="15">SUBSTITUTE(R14,".",",")</f>
        <v xml:space="preserve"> 632,4</v>
      </c>
      <c r="T52" s="6" t="s">
        <v>738</v>
      </c>
      <c r="U52" t="str">
        <f t="shared" si="1"/>
        <v>2659037,08</v>
      </c>
      <c r="V52">
        <f t="shared" si="0"/>
        <v>2659037.08</v>
      </c>
    </row>
    <row r="53" spans="1:22" x14ac:dyDescent="0.15">
      <c r="A53" t="str">
        <f t="shared" si="3"/>
        <v>1049,5</v>
      </c>
      <c r="B53" t="str">
        <f t="shared" si="2"/>
        <v xml:space="preserve">  664,0</v>
      </c>
      <c r="C53" t="str">
        <f t="shared" si="2"/>
        <v xml:space="preserve">  891,5</v>
      </c>
      <c r="D53" t="str">
        <f t="shared" si="2"/>
        <v xml:space="preserve">  836,5</v>
      </c>
      <c r="E53" t="str">
        <f t="shared" si="2"/>
        <v xml:space="preserve">  868,8</v>
      </c>
      <c r="F53" t="str">
        <f t="shared" si="2"/>
        <v xml:space="preserve">  703,7</v>
      </c>
      <c r="G53" t="str">
        <f t="shared" si="2"/>
        <v xml:space="preserve">  940,3</v>
      </c>
      <c r="H53" t="str">
        <f t="shared" si="2"/>
        <v xml:space="preserve">  602,3</v>
      </c>
      <c r="I53" t="str">
        <f t="shared" si="2"/>
        <v xml:space="preserve">  669,1</v>
      </c>
      <c r="J53" t="str">
        <f t="shared" si="2"/>
        <v>1062,8</v>
      </c>
      <c r="K53" t="str">
        <f t="shared" si="2"/>
        <v>981,5</v>
      </c>
      <c r="L53" t="str">
        <f t="shared" si="2"/>
        <v>1145,8</v>
      </c>
      <c r="M53" t="str">
        <f t="shared" si="2"/>
        <v>926,2</v>
      </c>
      <c r="N53" t="str">
        <f t="shared" si="2"/>
        <v>946,1</v>
      </c>
      <c r="O53" t="str">
        <f t="shared" si="2"/>
        <v>1075,9</v>
      </c>
      <c r="P53" t="str">
        <f t="shared" si="2"/>
        <v>926,4</v>
      </c>
      <c r="Q53" t="str">
        <f t="shared" si="2"/>
        <v xml:space="preserve"> 874,2</v>
      </c>
      <c r="R53" t="str">
        <f t="shared" ref="R53" si="16">SUBSTITUTE(R15,".",",")</f>
        <v>1106,4</v>
      </c>
      <c r="T53" s="6">
        <v>1387975074000000</v>
      </c>
      <c r="U53" t="str">
        <f t="shared" si="1"/>
        <v>1387975074000000</v>
      </c>
      <c r="V53">
        <f t="shared" si="0"/>
        <v>1387975074000000</v>
      </c>
    </row>
    <row r="54" spans="1:22" x14ac:dyDescent="0.15">
      <c r="A54" t="str">
        <f t="shared" si="3"/>
        <v xml:space="preserve">  751,1</v>
      </c>
      <c r="B54" t="str">
        <f t="shared" si="2"/>
        <v xml:space="preserve">  549,1</v>
      </c>
      <c r="C54" t="str">
        <f t="shared" si="2"/>
        <v xml:space="preserve">  719,1</v>
      </c>
      <c r="D54" t="str">
        <f t="shared" si="2"/>
        <v xml:space="preserve">  876,3</v>
      </c>
      <c r="E54" t="str">
        <f t="shared" si="2"/>
        <v xml:space="preserve">  679,6</v>
      </c>
      <c r="F54" t="str">
        <f t="shared" si="2"/>
        <v xml:space="preserve">  725,7</v>
      </c>
      <c r="G54" t="str">
        <f t="shared" si="2"/>
        <v xml:space="preserve">  809,7</v>
      </c>
      <c r="H54" t="str">
        <f t="shared" si="2"/>
        <v xml:space="preserve">  657,6</v>
      </c>
      <c r="I54" t="str">
        <f t="shared" si="2"/>
        <v xml:space="preserve">  628,5</v>
      </c>
      <c r="J54" t="str">
        <f t="shared" si="2"/>
        <v>842,9</v>
      </c>
      <c r="K54" t="str">
        <f t="shared" si="2"/>
        <v>884,7</v>
      </c>
      <c r="L54" t="str">
        <f t="shared" si="2"/>
        <v>858,5</v>
      </c>
      <c r="M54" t="str">
        <f t="shared" si="2"/>
        <v>915,</v>
      </c>
      <c r="N54" t="str">
        <f t="shared" si="2"/>
        <v>865,3</v>
      </c>
      <c r="O54" t="str">
        <f t="shared" si="2"/>
        <v>1098,7</v>
      </c>
      <c r="P54" t="str">
        <f t="shared" si="2"/>
        <v>837,6</v>
      </c>
      <c r="Q54" t="str">
        <f t="shared" si="2"/>
        <v xml:space="preserve"> 758,9</v>
      </c>
      <c r="R54" t="str">
        <f t="shared" ref="R54" si="17">SUBSTITUTE(R16,".",",")</f>
        <v xml:space="preserve"> 933,8</v>
      </c>
      <c r="T54" s="6">
        <v>5299187430000000</v>
      </c>
      <c r="U54" t="str">
        <f t="shared" si="1"/>
        <v>5299187430000000</v>
      </c>
      <c r="V54">
        <f t="shared" si="0"/>
        <v>5299187430000000</v>
      </c>
    </row>
    <row r="55" spans="1:22" x14ac:dyDescent="0.15">
      <c r="A55" t="str">
        <f t="shared" si="3"/>
        <v xml:space="preserve">  916,7</v>
      </c>
      <c r="B55" t="str">
        <f t="shared" si="2"/>
        <v xml:space="preserve">  689,2</v>
      </c>
      <c r="C55" t="str">
        <f t="shared" si="2"/>
        <v xml:space="preserve">  890,0</v>
      </c>
      <c r="D55" t="str">
        <f t="shared" si="2"/>
        <v xml:space="preserve">  824,0</v>
      </c>
      <c r="E55" t="str">
        <f t="shared" si="2"/>
        <v xml:space="preserve">  824,7</v>
      </c>
      <c r="F55" t="str">
        <f t="shared" si="2"/>
        <v xml:space="preserve">  765,6</v>
      </c>
      <c r="G55" t="str">
        <f t="shared" si="2"/>
        <v>1086,3</v>
      </c>
      <c r="H55" t="str">
        <f t="shared" si="2"/>
        <v xml:space="preserve">  689,8</v>
      </c>
      <c r="I55" t="str">
        <f t="shared" si="2"/>
        <v xml:space="preserve">  754,8</v>
      </c>
      <c r="J55" t="str">
        <f t="shared" si="2"/>
        <v>1075,3</v>
      </c>
      <c r="K55" t="str">
        <f t="shared" si="2"/>
        <v>885,1</v>
      </c>
      <c r="L55" t="str">
        <f t="shared" si="2"/>
        <v>996,6</v>
      </c>
      <c r="M55" t="str">
        <f t="shared" si="2"/>
        <v>722,</v>
      </c>
      <c r="N55" t="str">
        <f t="shared" si="2"/>
        <v>792,8</v>
      </c>
      <c r="O55" t="str">
        <f t="shared" si="2"/>
        <v>1114,1</v>
      </c>
      <c r="P55" t="str">
        <f t="shared" si="2"/>
        <v>829,7</v>
      </c>
      <c r="Q55" t="str">
        <f t="shared" si="2"/>
        <v xml:space="preserve"> 703,0</v>
      </c>
      <c r="R55" t="str">
        <f t="shared" ref="R55" si="18">SUBSTITUTE(R17,".",",")</f>
        <v xml:space="preserve"> 974,1</v>
      </c>
      <c r="T55" s="6" t="s">
        <v>739</v>
      </c>
      <c r="U55" t="str">
        <f t="shared" si="1"/>
        <v>1155038,19</v>
      </c>
      <c r="V55">
        <f t="shared" si="0"/>
        <v>1155038.19</v>
      </c>
    </row>
    <row r="56" spans="1:22" x14ac:dyDescent="0.15">
      <c r="A56" t="str">
        <f t="shared" si="3"/>
        <v>1207,6</v>
      </c>
      <c r="B56" t="str">
        <f t="shared" ref="B56:Q71" si="19">SUBSTITUTE(B18,".",",")</f>
        <v xml:space="preserve">  714,2</v>
      </c>
      <c r="C56" t="str">
        <f t="shared" si="19"/>
        <v xml:space="preserve">  887,2</v>
      </c>
      <c r="D56" t="str">
        <f t="shared" si="19"/>
        <v xml:space="preserve">  773,6</v>
      </c>
      <c r="E56" t="str">
        <f t="shared" si="19"/>
        <v>1022,7</v>
      </c>
      <c r="F56" t="str">
        <f t="shared" si="19"/>
        <v>1031,6</v>
      </c>
      <c r="G56" t="str">
        <f t="shared" si="19"/>
        <v>1206,9</v>
      </c>
      <c r="H56" t="str">
        <f t="shared" si="19"/>
        <v xml:space="preserve">  967,6</v>
      </c>
      <c r="I56" t="str">
        <f t="shared" si="19"/>
        <v xml:space="preserve">  840,4</v>
      </c>
      <c r="J56" t="str">
        <f t="shared" si="19"/>
        <v>1514,9</v>
      </c>
      <c r="K56" t="str">
        <f t="shared" si="19"/>
        <v>1777,8</v>
      </c>
      <c r="L56" t="str">
        <f t="shared" si="19"/>
        <v>1327,0</v>
      </c>
      <c r="M56" t="str">
        <f t="shared" si="19"/>
        <v>1781,6</v>
      </c>
      <c r="N56" t="str">
        <f t="shared" si="19"/>
        <v>1949,5</v>
      </c>
      <c r="O56" t="str">
        <f t="shared" si="19"/>
        <v>1963,7</v>
      </c>
      <c r="P56" t="str">
        <f t="shared" si="19"/>
        <v>1691,3</v>
      </c>
      <c r="Q56" t="str">
        <f t="shared" si="19"/>
        <v>1507,5</v>
      </c>
      <c r="R56" t="str">
        <f t="shared" ref="R56" si="20">SUBSTITUTE(R18,".",",")</f>
        <v>1795,1</v>
      </c>
      <c r="T56" s="6">
        <v>1.61885296999999E+16</v>
      </c>
      <c r="U56" t="str">
        <f t="shared" si="1"/>
        <v>16188529699999900</v>
      </c>
      <c r="V56">
        <f t="shared" si="0"/>
        <v>1.61885296999999E+16</v>
      </c>
    </row>
    <row r="57" spans="1:22" x14ac:dyDescent="0.15">
      <c r="A57" t="str">
        <f t="shared" si="3"/>
        <v>1435,1</v>
      </c>
      <c r="B57" t="str">
        <f t="shared" si="19"/>
        <v>1215,5</v>
      </c>
      <c r="C57" t="str">
        <f t="shared" si="19"/>
        <v>1002,0</v>
      </c>
      <c r="D57" t="str">
        <f t="shared" si="19"/>
        <v>1055,0</v>
      </c>
      <c r="E57" t="str">
        <f t="shared" si="19"/>
        <v>1550,6</v>
      </c>
      <c r="F57" t="str">
        <f t="shared" si="19"/>
        <v>1281,2</v>
      </c>
      <c r="G57" t="str">
        <f t="shared" si="19"/>
        <v>1649,8</v>
      </c>
      <c r="H57" t="str">
        <f t="shared" si="19"/>
        <v>1129,2</v>
      </c>
      <c r="I57" t="str">
        <f t="shared" si="19"/>
        <v>1060,1</v>
      </c>
      <c r="J57" t="str">
        <f t="shared" si="19"/>
        <v>1209,4</v>
      </c>
      <c r="K57" t="str">
        <f t="shared" si="19"/>
        <v>1293,1</v>
      </c>
      <c r="L57" t="str">
        <f t="shared" si="19"/>
        <v>1443,0</v>
      </c>
      <c r="M57" t="str">
        <f t="shared" si="19"/>
        <v>1224,4</v>
      </c>
      <c r="N57" t="str">
        <f t="shared" si="19"/>
        <v>1228,2</v>
      </c>
      <c r="O57" t="str">
        <f t="shared" si="19"/>
        <v>1356,</v>
      </c>
      <c r="P57" t="str">
        <f t="shared" si="19"/>
        <v>1225,3</v>
      </c>
      <c r="Q57" t="str">
        <f t="shared" si="19"/>
        <v>1140,5</v>
      </c>
      <c r="R57" t="str">
        <f t="shared" ref="R57" si="21">SUBSTITUTE(R19,".",",")</f>
        <v>1393,1</v>
      </c>
      <c r="T57" s="6">
        <v>6172392409999990</v>
      </c>
      <c r="U57" t="str">
        <f t="shared" si="1"/>
        <v>6172392409999990</v>
      </c>
      <c r="V57">
        <f t="shared" si="0"/>
        <v>6172392409999990</v>
      </c>
    </row>
    <row r="58" spans="1:22" x14ac:dyDescent="0.15">
      <c r="A58" t="str">
        <f t="shared" si="3"/>
        <v xml:space="preserve">  830,2</v>
      </c>
      <c r="B58" t="str">
        <f t="shared" si="19"/>
        <v xml:space="preserve">  919,2</v>
      </c>
      <c r="C58" t="str">
        <f t="shared" si="19"/>
        <v xml:space="preserve">  614,3</v>
      </c>
      <c r="D58" t="str">
        <f t="shared" si="19"/>
        <v xml:space="preserve">  698,5</v>
      </c>
      <c r="E58" t="str">
        <f t="shared" si="19"/>
        <v xml:space="preserve">  824,1</v>
      </c>
      <c r="F58" t="str">
        <f t="shared" si="19"/>
        <v xml:space="preserve">  483,1</v>
      </c>
      <c r="G58" t="str">
        <f t="shared" si="19"/>
        <v>1231,2</v>
      </c>
      <c r="H58" t="str">
        <f t="shared" si="19"/>
        <v xml:space="preserve">  370,8</v>
      </c>
      <c r="I58" t="str">
        <f t="shared" si="19"/>
        <v xml:space="preserve">  562,4</v>
      </c>
      <c r="J58" t="str">
        <f t="shared" si="19"/>
        <v>756,5</v>
      </c>
      <c r="K58" t="str">
        <f t="shared" si="19"/>
        <v>683 4</v>
      </c>
      <c r="L58" t="str">
        <f t="shared" si="19"/>
        <v>682,1</v>
      </c>
      <c r="M58" t="str">
        <f t="shared" si="19"/>
        <v>612,2</v>
      </c>
      <c r="N58" t="str">
        <f>SUBSTITUTE(N20,".",",")</f>
        <v>570,</v>
      </c>
      <c r="O58" t="str">
        <f t="shared" si="19"/>
        <v>585,2</v>
      </c>
      <c r="P58" t="str">
        <f t="shared" si="19"/>
        <v>499,2</v>
      </c>
      <c r="Q58" t="str">
        <f t="shared" si="19"/>
        <v xml:space="preserve"> 525,5</v>
      </c>
      <c r="R58" t="str">
        <f t="shared" ref="R58" si="22">SUBSTITUTE(R20,".",",")</f>
        <v xml:space="preserve"> 497,7</v>
      </c>
      <c r="T58" s="6">
        <v>1.01611399599999E+16</v>
      </c>
      <c r="U58" t="str">
        <f t="shared" si="1"/>
        <v>10161139959999900</v>
      </c>
      <c r="V58">
        <f t="shared" si="0"/>
        <v>1.01611399599999E+16</v>
      </c>
    </row>
    <row r="59" spans="1:22" x14ac:dyDescent="0.15">
      <c r="A59" t="str">
        <f t="shared" si="3"/>
        <v>1340,7</v>
      </c>
      <c r="B59" t="str">
        <f t="shared" si="19"/>
        <v>1618,3</v>
      </c>
      <c r="C59" t="str">
        <f t="shared" si="19"/>
        <v>1270,2</v>
      </c>
      <c r="D59" t="str">
        <f t="shared" si="19"/>
        <v>1155,2</v>
      </c>
      <c r="E59" t="str">
        <f t="shared" si="19"/>
        <v>1710,3</v>
      </c>
      <c r="F59" t="str">
        <f t="shared" si="19"/>
        <v>1267,7</v>
      </c>
      <c r="G59" t="str">
        <f t="shared" si="19"/>
        <v>1940,1</v>
      </c>
      <c r="H59" t="str">
        <f t="shared" si="19"/>
        <v>1388,6</v>
      </c>
      <c r="I59" t="str">
        <f t="shared" si="19"/>
        <v>1360,0</v>
      </c>
      <c r="J59" t="str">
        <f t="shared" si="19"/>
        <v>1237,6</v>
      </c>
      <c r="K59" t="str">
        <f t="shared" si="19"/>
        <v>1185,5</v>
      </c>
      <c r="L59" t="str">
        <f t="shared" si="19"/>
        <v>1002,4</v>
      </c>
      <c r="M59" t="str">
        <f t="shared" si="19"/>
        <v>993,2</v>
      </c>
      <c r="N59" t="str">
        <f t="shared" si="19"/>
        <v>1440,8</v>
      </c>
      <c r="O59" t="str">
        <f t="shared" si="19"/>
        <v>1217,1</v>
      </c>
      <c r="P59" t="str">
        <f t="shared" si="19"/>
        <v>1089,4</v>
      </c>
      <c r="Q59" t="str">
        <f t="shared" si="19"/>
        <v>1125,6</v>
      </c>
      <c r="R59" t="str">
        <f t="shared" ref="R59" si="23">SUBSTITUTE(R21,".",",")</f>
        <v>1236,8</v>
      </c>
      <c r="T59" s="6" t="s">
        <v>740</v>
      </c>
      <c r="U59" t="str">
        <f t="shared" si="1"/>
        <v>3716354,0</v>
      </c>
      <c r="V59">
        <f t="shared" si="0"/>
        <v>3716354</v>
      </c>
    </row>
    <row r="60" spans="1:22" x14ac:dyDescent="0.15">
      <c r="A60" t="str">
        <f t="shared" si="3"/>
        <v>1302,3</v>
      </c>
      <c r="B60" t="str">
        <f t="shared" si="19"/>
        <v>1253,9</v>
      </c>
      <c r="C60" t="str">
        <f t="shared" si="19"/>
        <v>1221,8</v>
      </c>
      <c r="D60" t="str">
        <f t="shared" si="19"/>
        <v>1410,1</v>
      </c>
      <c r="E60" t="str">
        <f t="shared" si="19"/>
        <v>1395,9</v>
      </c>
      <c r="F60" t="str">
        <f t="shared" si="19"/>
        <v>1236,3</v>
      </c>
      <c r="G60" t="str">
        <f t="shared" si="19"/>
        <v>1365,1</v>
      </c>
      <c r="H60" t="str">
        <f t="shared" si="19"/>
        <v>1280,0</v>
      </c>
      <c r="I60" t="str">
        <f t="shared" si="19"/>
        <v>1390,5</v>
      </c>
      <c r="J60" t="str">
        <f t="shared" si="19"/>
        <v>1390,</v>
      </c>
      <c r="K60" t="str">
        <f t="shared" si="19"/>
        <v>1303,</v>
      </c>
      <c r="L60" t="str">
        <f t="shared" si="19"/>
        <v>1185,1</v>
      </c>
      <c r="M60" t="str">
        <f t="shared" si="19"/>
        <v>1195,8</v>
      </c>
      <c r="N60" t="str">
        <f t="shared" si="19"/>
        <v>1402,3</v>
      </c>
      <c r="O60" t="str">
        <f t="shared" si="19"/>
        <v>1247,7</v>
      </c>
      <c r="P60" t="str">
        <f t="shared" si="19"/>
        <v>1040,8</v>
      </c>
      <c r="Q60" t="str">
        <f t="shared" si="19"/>
        <v>1104,4</v>
      </c>
      <c r="R60" t="str">
        <f t="shared" ref="R60" si="24">SUBSTITUTE(R22,".",",")</f>
        <v>1252,5</v>
      </c>
      <c r="T60" s="6" t="s">
        <v>741</v>
      </c>
      <c r="U60" t="str">
        <f t="shared" si="1"/>
        <v>2829895,76</v>
      </c>
      <c r="V60">
        <f t="shared" si="0"/>
        <v>2829895.76</v>
      </c>
    </row>
    <row r="61" spans="1:22" x14ac:dyDescent="0.15">
      <c r="A61" t="str">
        <f t="shared" si="3"/>
        <v xml:space="preserve">  698,5</v>
      </c>
      <c r="B61" t="str">
        <f t="shared" si="19"/>
        <v xml:space="preserve">  435,0</v>
      </c>
      <c r="C61" t="str">
        <f t="shared" si="19"/>
        <v xml:space="preserve">  590,2</v>
      </c>
      <c r="D61" t="str">
        <f t="shared" si="19"/>
        <v xml:space="preserve">  639,2</v>
      </c>
      <c r="E61" t="str">
        <f t="shared" si="19"/>
        <v xml:space="preserve">  641,7</v>
      </c>
      <c r="F61" t="str">
        <f t="shared" si="19"/>
        <v xml:space="preserve">  490,0</v>
      </c>
      <c r="G61" t="str">
        <f t="shared" si="19"/>
        <v xml:space="preserve">  717,1</v>
      </c>
      <c r="H61" t="str">
        <f t="shared" si="19"/>
        <v xml:space="preserve">  372,3</v>
      </c>
      <c r="I61" t="str">
        <f t="shared" si="19"/>
        <v xml:space="preserve">  589,9</v>
      </c>
      <c r="J61" t="str">
        <f t="shared" si="19"/>
        <v>780,</v>
      </c>
      <c r="K61" t="str">
        <f t="shared" si="19"/>
        <v>773,1</v>
      </c>
      <c r="L61" t="str">
        <f t="shared" si="19"/>
        <v>756,6</v>
      </c>
      <c r="M61" t="str">
        <f t="shared" si="19"/>
        <v>749,8</v>
      </c>
      <c r="N61" t="str">
        <f t="shared" si="19"/>
        <v>592,7</v>
      </c>
      <c r="O61" t="str">
        <f t="shared" si="19"/>
        <v>554,1</v>
      </c>
      <c r="P61" t="str">
        <f t="shared" si="19"/>
        <v>411,3</v>
      </c>
      <c r="Q61" t="str">
        <f t="shared" si="19"/>
        <v xml:space="preserve"> 407,0</v>
      </c>
      <c r="R61" t="str">
        <f t="shared" ref="R61" si="25">SUBSTITUTE(R23,".",",")</f>
        <v xml:space="preserve"> 648,3</v>
      </c>
      <c r="T61" s="6">
        <v>8216961649999990</v>
      </c>
      <c r="U61" t="str">
        <f t="shared" si="1"/>
        <v>8216961649999990</v>
      </c>
      <c r="V61">
        <f t="shared" si="0"/>
        <v>8216961649999990</v>
      </c>
    </row>
    <row r="62" spans="1:22" x14ac:dyDescent="0.15">
      <c r="A62" t="str">
        <f t="shared" si="3"/>
        <v>1087,2</v>
      </c>
      <c r="B62" t="str">
        <f t="shared" si="19"/>
        <v>1456,5</v>
      </c>
      <c r="C62" t="str">
        <f t="shared" si="19"/>
        <v>1131,9</v>
      </c>
      <c r="D62" t="str">
        <f t="shared" si="19"/>
        <v>1093,3</v>
      </c>
      <c r="E62" t="str">
        <f t="shared" si="19"/>
        <v>1209,9</v>
      </c>
      <c r="F62" t="str">
        <f t="shared" si="19"/>
        <v>1100,8</v>
      </c>
      <c r="G62" t="str">
        <f t="shared" si="19"/>
        <v>1503,8</v>
      </c>
      <c r="H62" t="str">
        <f t="shared" si="19"/>
        <v>1476,3</v>
      </c>
      <c r="I62" t="str">
        <f t="shared" si="19"/>
        <v>1338,1</v>
      </c>
      <c r="J62" t="str">
        <f t="shared" si="19"/>
        <v>1898,5</v>
      </c>
      <c r="K62" t="str">
        <f t="shared" si="19"/>
        <v>1358,3</v>
      </c>
      <c r="L62" t="str">
        <f t="shared" si="19"/>
        <v>1495,5</v>
      </c>
      <c r="M62" t="str">
        <f t="shared" si="19"/>
        <v>1109,3</v>
      </c>
      <c r="N62" t="str">
        <f t="shared" si="19"/>
        <v>1406,8</v>
      </c>
      <c r="O62" t="str">
        <f>SUBSTITUTE(O24,".",",")</f>
        <v>1306,1</v>
      </c>
      <c r="P62" t="str">
        <f t="shared" si="19"/>
        <v>1036,1</v>
      </c>
      <c r="Q62" t="str">
        <f t="shared" si="19"/>
        <v>1870,7</v>
      </c>
      <c r="R62" t="str">
        <f t="shared" ref="R62" si="26">SUBSTITUTE(R24,".",",")</f>
        <v>1303,7</v>
      </c>
      <c r="T62" s="6">
        <v>1.18201736999999E+16</v>
      </c>
      <c r="U62" t="str">
        <f t="shared" si="1"/>
        <v>11820173699999900</v>
      </c>
      <c r="V62">
        <f t="shared" si="0"/>
        <v>1.18201736999999E+16</v>
      </c>
    </row>
    <row r="63" spans="1:22" x14ac:dyDescent="0.15">
      <c r="A63" t="str">
        <f t="shared" si="3"/>
        <v xml:space="preserve">  810,7</v>
      </c>
      <c r="B63" t="str">
        <f t="shared" si="19"/>
        <v xml:space="preserve">  808,4</v>
      </c>
      <c r="C63" t="str">
        <f t="shared" si="19"/>
        <v xml:space="preserve">  720,0</v>
      </c>
      <c r="D63" t="str">
        <f t="shared" si="19"/>
        <v>1222,7</v>
      </c>
      <c r="E63" t="str">
        <f t="shared" si="19"/>
        <v>1375,3</v>
      </c>
      <c r="F63" t="str">
        <f t="shared" si="19"/>
        <v xml:space="preserve">  951,0</v>
      </c>
      <c r="G63" t="str">
        <f t="shared" si="19"/>
        <v>1360,0</v>
      </c>
      <c r="H63" t="str">
        <f t="shared" si="19"/>
        <v xml:space="preserve">  922,3</v>
      </c>
      <c r="I63" t="str">
        <f t="shared" si="19"/>
        <v xml:space="preserve">  974,5</v>
      </c>
      <c r="J63" t="str">
        <f t="shared" si="19"/>
        <v>875,5</v>
      </c>
      <c r="K63" t="str">
        <f t="shared" si="19"/>
        <v>808,3</v>
      </c>
      <c r="L63" t="str">
        <f t="shared" si="19"/>
        <v>794,1</v>
      </c>
      <c r="M63" t="str">
        <f t="shared" si="19"/>
        <v>685,1</v>
      </c>
      <c r="N63" t="str">
        <f t="shared" si="19"/>
        <v>617,6</v>
      </c>
      <c r="O63" t="str">
        <f t="shared" si="19"/>
        <v>635,4</v>
      </c>
      <c r="P63" t="str">
        <f t="shared" si="19"/>
        <v>480,8</v>
      </c>
      <c r="Q63" t="str">
        <f t="shared" si="19"/>
        <v xml:space="preserve"> 446,3</v>
      </c>
      <c r="R63" t="str">
        <f t="shared" ref="R63" si="27">SUBSTITUTE(R25,".",",")</f>
        <v xml:space="preserve"> 615,0</v>
      </c>
      <c r="T63" s="6" t="s">
        <v>742</v>
      </c>
      <c r="U63" t="str">
        <f t="shared" si="1"/>
        <v>25732730,83</v>
      </c>
      <c r="V63">
        <f t="shared" si="0"/>
        <v>25732730.829999998</v>
      </c>
    </row>
    <row r="64" spans="1:22" x14ac:dyDescent="0.15">
      <c r="A64" t="str">
        <f t="shared" si="3"/>
        <v xml:space="preserve">  872,1</v>
      </c>
      <c r="B64" t="str">
        <f t="shared" si="19"/>
        <v xml:space="preserve">  535,6</v>
      </c>
      <c r="C64" t="str">
        <f t="shared" si="19"/>
        <v xml:space="preserve">  731,8</v>
      </c>
      <c r="D64" t="str">
        <f t="shared" si="19"/>
        <v xml:space="preserve">  638,6</v>
      </c>
      <c r="E64" t="str">
        <f t="shared" si="19"/>
        <v xml:space="preserve">  737,9</v>
      </c>
      <c r="F64" t="str">
        <f t="shared" si="19"/>
        <v xml:space="preserve">  662,6</v>
      </c>
      <c r="G64" t="str">
        <f t="shared" si="19"/>
        <v xml:space="preserve">  596,4</v>
      </c>
      <c r="H64" t="str">
        <f t="shared" si="19"/>
        <v xml:space="preserve">  595,3</v>
      </c>
      <c r="I64" t="str">
        <f t="shared" si="19"/>
        <v xml:space="preserve">  697,2</v>
      </c>
      <c r="J64" t="str">
        <f t="shared" si="19"/>
        <v>846,</v>
      </c>
      <c r="K64" t="str">
        <f t="shared" si="19"/>
        <v>876,1</v>
      </c>
      <c r="L64" t="str">
        <f t="shared" si="19"/>
        <v>1048,6</v>
      </c>
      <c r="M64" t="str">
        <f t="shared" si="19"/>
        <v>730,4</v>
      </c>
      <c r="N64" t="str">
        <f t="shared" si="19"/>
        <v>698,8</v>
      </c>
      <c r="O64" t="str">
        <f t="shared" si="19"/>
        <v>1001,3</v>
      </c>
      <c r="P64" t="str">
        <f t="shared" si="19"/>
        <v>928,2</v>
      </c>
      <c r="Q64" t="str">
        <f t="shared" si="19"/>
        <v xml:space="preserve"> 653,4</v>
      </c>
      <c r="R64" t="str">
        <f t="shared" ref="R64" si="28">SUBSTITUTE(R26,".",",")</f>
        <v xml:space="preserve"> 952,9</v>
      </c>
      <c r="T64" s="6">
        <v>4971285249999990</v>
      </c>
      <c r="U64" t="str">
        <f t="shared" si="1"/>
        <v>4971285249999990</v>
      </c>
      <c r="V64">
        <f t="shared" si="0"/>
        <v>4971285249999990</v>
      </c>
    </row>
    <row r="65" spans="1:22" x14ac:dyDescent="0.15">
      <c r="A65" t="str">
        <f t="shared" si="3"/>
        <v xml:space="preserve">  573,7</v>
      </c>
      <c r="B65" t="str">
        <f t="shared" si="19"/>
        <v xml:space="preserve">  298,7</v>
      </c>
      <c r="C65" t="str">
        <f t="shared" si="19"/>
        <v xml:space="preserve">  358,9</v>
      </c>
      <c r="D65" t="str">
        <f t="shared" si="19"/>
        <v xml:space="preserve">  444,5</v>
      </c>
      <c r="E65" t="str">
        <f t="shared" si="19"/>
        <v xml:space="preserve">  457,8</v>
      </c>
      <c r="F65" t="str">
        <f t="shared" si="19"/>
        <v xml:space="preserve">  444,9</v>
      </c>
      <c r="G65" t="str">
        <f t="shared" si="19"/>
        <v xml:space="preserve">  453,0</v>
      </c>
      <c r="H65" t="str">
        <f t="shared" si="19"/>
        <v xml:space="preserve">  360,1</v>
      </c>
      <c r="I65" t="str">
        <f t="shared" si="19"/>
        <v xml:space="preserve">  382,1</v>
      </c>
      <c r="J65" t="str">
        <f t="shared" si="19"/>
        <v>446,</v>
      </c>
      <c r="K65" t="str">
        <f t="shared" si="19"/>
        <v>480,5</v>
      </c>
      <c r="L65" t="str">
        <f t="shared" si="19"/>
        <v>643,5</v>
      </c>
      <c r="M65" t="str">
        <f t="shared" si="19"/>
        <v>424,4</v>
      </c>
      <c r="N65" t="str">
        <f t="shared" si="19"/>
        <v>450,6</v>
      </c>
      <c r="O65" t="str">
        <f t="shared" si="19"/>
        <v>565,9</v>
      </c>
      <c r="P65" t="str">
        <f t="shared" si="19"/>
        <v>648,7</v>
      </c>
      <c r="Q65" t="str">
        <f t="shared" si="19"/>
        <v xml:space="preserve"> 343,0</v>
      </c>
      <c r="R65" t="str">
        <f t="shared" ref="R65" si="29">SUBSTITUTE(R27,".",",")</f>
        <v xml:space="preserve"> 502,7</v>
      </c>
      <c r="T65" s="6">
        <v>2.35109710999999E+16</v>
      </c>
      <c r="U65" t="str">
        <f t="shared" si="1"/>
        <v>23510971099999900</v>
      </c>
      <c r="V65">
        <f t="shared" si="0"/>
        <v>2.35109710999999E+16</v>
      </c>
    </row>
    <row r="66" spans="1:22" x14ac:dyDescent="0.15">
      <c r="A66" t="str">
        <f t="shared" si="3"/>
        <v>1964,1</v>
      </c>
      <c r="B66" t="str">
        <f t="shared" si="19"/>
        <v>2036,0</v>
      </c>
      <c r="C66" t="str">
        <f t="shared" si="19"/>
        <v>2676,2</v>
      </c>
      <c r="D66" t="str">
        <f t="shared" si="19"/>
        <v>2554,1</v>
      </c>
      <c r="E66" t="str">
        <f t="shared" si="19"/>
        <v>2617,3</v>
      </c>
      <c r="F66" t="str">
        <f t="shared" si="19"/>
        <v>1730,5</v>
      </c>
      <c r="G66" t="str">
        <f t="shared" si="19"/>
        <v>2561,9</v>
      </c>
      <c r="H66" t="str">
        <f t="shared" si="19"/>
        <v>2496,5</v>
      </c>
      <c r="I66" t="str">
        <f t="shared" si="19"/>
        <v>2069,7</v>
      </c>
      <c r="J66" t="str">
        <f t="shared" si="19"/>
        <v>2811,9</v>
      </c>
      <c r="K66" t="str">
        <f t="shared" si="19"/>
        <v>2394</v>
      </c>
      <c r="L66" t="str">
        <f t="shared" si="19"/>
        <v>2426,3</v>
      </c>
      <c r="M66" t="str">
        <f t="shared" si="19"/>
        <v>1749,7</v>
      </c>
      <c r="N66" t="str">
        <f t="shared" si="19"/>
        <v>2 013,9</v>
      </c>
      <c r="O66" t="str">
        <f t="shared" si="19"/>
        <v>1965,5</v>
      </c>
      <c r="P66" t="str">
        <f t="shared" si="19"/>
        <v>1916,0</v>
      </c>
      <c r="Q66" t="str">
        <f t="shared" si="19"/>
        <v>3017,9</v>
      </c>
      <c r="R66" t="str">
        <f t="shared" ref="R66" si="30">SUBSTITUTE(R28,".",",")</f>
        <v>1836,1</v>
      </c>
      <c r="T66" s="6" t="s">
        <v>153</v>
      </c>
      <c r="U66" t="str">
        <f t="shared" si="1"/>
        <v>2518485,3</v>
      </c>
      <c r="V66">
        <f t="shared" si="0"/>
        <v>2518485.2999999998</v>
      </c>
    </row>
    <row r="67" spans="1:22" x14ac:dyDescent="0.15">
      <c r="A67" t="str">
        <f t="shared" si="3"/>
        <v xml:space="preserve">  772,9</v>
      </c>
      <c r="B67" t="str">
        <f t="shared" si="19"/>
        <v xml:space="preserve">  738,8</v>
      </c>
      <c r="C67" t="str">
        <f t="shared" si="19"/>
        <v xml:space="preserve">  670,2</v>
      </c>
      <c r="D67" t="str">
        <f t="shared" si="19"/>
        <v>1002,4</v>
      </c>
      <c r="E67" t="str">
        <f t="shared" si="19"/>
        <v>1047,0</v>
      </c>
      <c r="F67" t="str">
        <f t="shared" si="19"/>
        <v xml:space="preserve">  627,6</v>
      </c>
      <c r="G67" t="str">
        <f t="shared" si="19"/>
        <v>1011,2</v>
      </c>
      <c r="H67" t="str">
        <f t="shared" si="19"/>
        <v xml:space="preserve">  603,3</v>
      </c>
      <c r="I67" t="str">
        <f t="shared" si="19"/>
        <v xml:space="preserve">  727,3</v>
      </c>
      <c r="J67" t="str">
        <f t="shared" si="19"/>
        <v>1090,6</v>
      </c>
      <c r="K67" t="str">
        <f t="shared" si="19"/>
        <v>955,</v>
      </c>
      <c r="L67" t="str">
        <f t="shared" si="19"/>
        <v>891,7</v>
      </c>
      <c r="M67" t="str">
        <f t="shared" si="19"/>
        <v>746,7</v>
      </c>
      <c r="N67" t="str">
        <f t="shared" si="19"/>
        <v>666,7</v>
      </c>
      <c r="O67" t="str">
        <f t="shared" si="19"/>
        <v>678,0</v>
      </c>
      <c r="P67" t="str">
        <f t="shared" si="19"/>
        <v>579,1</v>
      </c>
      <c r="Q67" t="str">
        <f t="shared" si="19"/>
        <v xml:space="preserve"> 631,1</v>
      </c>
      <c r="R67" t="str">
        <f t="shared" ref="R67" si="31">SUBSTITUTE(R29,".",",")</f>
        <v xml:space="preserve"> 740,2</v>
      </c>
      <c r="T67" s="6">
        <v>3.9937289699999904E+16</v>
      </c>
      <c r="U67" t="str">
        <f t="shared" ref="U67:U130" si="32">SUBSTITUTE(T67,".",",")</f>
        <v>39937289699999900</v>
      </c>
      <c r="V67">
        <f t="shared" ref="V67:V130" si="33">_xlfn.NUMBERVALUE(U67)</f>
        <v>3.9937289699999904E+16</v>
      </c>
    </row>
    <row r="68" spans="1:22" x14ac:dyDescent="0.15">
      <c r="A68" t="str">
        <f t="shared" si="3"/>
        <v xml:space="preserve">  706,4</v>
      </c>
      <c r="B68" t="str">
        <f t="shared" si="19"/>
        <v xml:space="preserve">  677,4</v>
      </c>
      <c r="C68" t="str">
        <f t="shared" si="19"/>
        <v xml:space="preserve">  876,0</v>
      </c>
      <c r="D68" t="str">
        <f t="shared" si="19"/>
        <v xml:space="preserve">  677,2</v>
      </c>
      <c r="E68" t="str">
        <f t="shared" si="19"/>
        <v xml:space="preserve">  679,8</v>
      </c>
      <c r="F68" t="str">
        <f t="shared" si="19"/>
        <v xml:space="preserve">  667,4</v>
      </c>
      <c r="G68" t="str">
        <f t="shared" si="19"/>
        <v xml:space="preserve">  829,1</v>
      </c>
      <c r="H68" t="str">
        <f t="shared" si="19"/>
        <v xml:space="preserve">  723,3</v>
      </c>
      <c r="I68" t="str">
        <f t="shared" si="19"/>
        <v xml:space="preserve">  849,1</v>
      </c>
      <c r="J68" t="str">
        <f t="shared" si="19"/>
        <v>823,8</v>
      </c>
      <c r="K68" t="str">
        <f t="shared" si="19"/>
        <v>885,</v>
      </c>
      <c r="L68" t="str">
        <f t="shared" si="19"/>
        <v>800,1</v>
      </c>
      <c r="M68" t="str">
        <f t="shared" si="19"/>
        <v>750,9</v>
      </c>
      <c r="N68" t="str">
        <f t="shared" si="19"/>
        <v>690,2</v>
      </c>
      <c r="O68" t="str">
        <f t="shared" si="19"/>
        <v>662,0</v>
      </c>
      <c r="P68" t="str">
        <f t="shared" si="19"/>
        <v>564,2</v>
      </c>
      <c r="Q68" t="str">
        <f t="shared" si="19"/>
        <v xml:space="preserve"> 538,4</v>
      </c>
      <c r="R68" t="str">
        <f t="shared" ref="R68" si="34">SUBSTITUTE(R30,".",",")</f>
        <v xml:space="preserve"> 710,0</v>
      </c>
      <c r="T68" s="6" t="s">
        <v>190</v>
      </c>
      <c r="U68" t="str">
        <f t="shared" si="32"/>
        <v>429787,45</v>
      </c>
      <c r="V68">
        <f t="shared" si="33"/>
        <v>429787.45</v>
      </c>
    </row>
    <row r="69" spans="1:22" x14ac:dyDescent="0.15">
      <c r="A69" t="str">
        <f t="shared" si="3"/>
        <v>1483,0</v>
      </c>
      <c r="B69" t="str">
        <f t="shared" si="19"/>
        <v>1830,1</v>
      </c>
      <c r="C69" t="str">
        <f t="shared" si="19"/>
        <v>1654,2</v>
      </c>
      <c r="D69" t="str">
        <f t="shared" si="19"/>
        <v>1502,6</v>
      </c>
      <c r="E69" t="str">
        <f t="shared" si="19"/>
        <v>1573,9</v>
      </c>
      <c r="F69" t="str">
        <f t="shared" si="19"/>
        <v>1470,3</v>
      </c>
      <c r="G69" t="str">
        <f t="shared" si="19"/>
        <v>1791,1</v>
      </c>
      <c r="H69" t="str">
        <f t="shared" si="19"/>
        <v>1553,5</v>
      </c>
      <c r="I69" t="str">
        <f t="shared" si="19"/>
        <v>1695,9</v>
      </c>
      <c r="J69" t="str">
        <f t="shared" si="19"/>
        <v>1852,4</v>
      </c>
      <c r="K69" t="str">
        <f t="shared" si="19"/>
        <v>1537,3</v>
      </c>
      <c r="L69" t="str">
        <f t="shared" si="19"/>
        <v>1488,9</v>
      </c>
      <c r="M69" t="str">
        <f t="shared" si="19"/>
        <v>1533,8</v>
      </c>
      <c r="N69" t="str">
        <f t="shared" si="19"/>
        <v>1730,9</v>
      </c>
      <c r="O69" t="str">
        <f t="shared" si="19"/>
        <v>1516,1</v>
      </c>
      <c r="P69" t="str">
        <f t="shared" si="19"/>
        <v>1107,6</v>
      </c>
      <c r="Q69" t="str">
        <f t="shared" si="19"/>
        <v>1548,6</v>
      </c>
      <c r="R69" t="str">
        <f t="shared" ref="R69" si="35">SUBSTITUTE(R31,".",",")</f>
        <v>1501,2</v>
      </c>
      <c r="T69" s="6" t="s">
        <v>208</v>
      </c>
      <c r="U69" t="str">
        <f t="shared" si="32"/>
        <v>858601,26</v>
      </c>
      <c r="V69">
        <f t="shared" si="33"/>
        <v>858601.26</v>
      </c>
    </row>
    <row r="70" spans="1:22" x14ac:dyDescent="0.15">
      <c r="A70" t="str">
        <f>SUBSTITUTE(A32,".",",")</f>
        <v>1038,9</v>
      </c>
      <c r="B70" t="str">
        <f t="shared" si="19"/>
        <v>1107,5</v>
      </c>
      <c r="C70" t="str">
        <f t="shared" si="19"/>
        <v xml:space="preserve">  891,2</v>
      </c>
      <c r="D70" t="str">
        <f t="shared" si="19"/>
        <v xml:space="preserve">  991,4</v>
      </c>
      <c r="E70" t="str">
        <f t="shared" si="19"/>
        <v xml:space="preserve">  899,3</v>
      </c>
      <c r="F70" t="str">
        <f t="shared" si="19"/>
        <v xml:space="preserve">  736,3</v>
      </c>
      <c r="G70" t="str">
        <f t="shared" si="19"/>
        <v>1071,6</v>
      </c>
      <c r="H70" t="str">
        <f t="shared" si="19"/>
        <v xml:space="preserve">  972,8</v>
      </c>
      <c r="I70" t="str">
        <f t="shared" si="19"/>
        <v xml:space="preserve">  948,2</v>
      </c>
      <c r="J70" t="str">
        <f t="shared" si="19"/>
        <v>1418,</v>
      </c>
      <c r="K70" t="str">
        <f t="shared" si="19"/>
        <v>1148,1</v>
      </c>
      <c r="L70" t="str">
        <f t="shared" si="19"/>
        <v>978 4</v>
      </c>
      <c r="M70" t="str">
        <f t="shared" si="19"/>
        <v>885,2</v>
      </c>
      <c r="N70" t="str">
        <f t="shared" si="19"/>
        <v>1120,5</v>
      </c>
      <c r="O70" t="str">
        <f t="shared" si="19"/>
        <v>998,7</v>
      </c>
      <c r="P70" t="str">
        <f t="shared" si="19"/>
        <v>1034,2</v>
      </c>
      <c r="Q70" t="str">
        <f t="shared" si="19"/>
        <v>1802,2</v>
      </c>
      <c r="R70" t="str">
        <f t="shared" ref="R70:R71" si="36">SUBSTITUTE(R32,".",",")</f>
        <v>1172,6</v>
      </c>
      <c r="T70" s="6">
        <v>5317590529999990</v>
      </c>
      <c r="U70" t="str">
        <f t="shared" si="32"/>
        <v>5317590529999990</v>
      </c>
      <c r="V70">
        <f t="shared" si="33"/>
        <v>5317590529999990</v>
      </c>
    </row>
    <row r="71" spans="1:22" x14ac:dyDescent="0.15">
      <c r="A71" t="str">
        <f t="shared" si="3"/>
        <v xml:space="preserve">  688,8</v>
      </c>
      <c r="B71" t="str">
        <f t="shared" si="19"/>
        <v xml:space="preserve">  414,5</v>
      </c>
      <c r="C71" t="str">
        <f t="shared" si="19"/>
        <v xml:space="preserve">  455,4</v>
      </c>
      <c r="D71" t="str">
        <f t="shared" si="19"/>
        <v xml:space="preserve">  440,1</v>
      </c>
      <c r="E71" t="str">
        <f t="shared" si="19"/>
        <v xml:space="preserve">  580,4</v>
      </c>
      <c r="F71" t="str">
        <f t="shared" si="19"/>
        <v xml:space="preserve">  487,6</v>
      </c>
      <c r="G71" t="str">
        <f t="shared" si="19"/>
        <v xml:space="preserve">  509,0</v>
      </c>
      <c r="H71" t="str">
        <f t="shared" si="19"/>
        <v xml:space="preserve">  314,5</v>
      </c>
      <c r="I71" t="str">
        <f t="shared" si="19"/>
        <v xml:space="preserve">  430,8</v>
      </c>
      <c r="J71" t="str">
        <f t="shared" si="19"/>
        <v>631,</v>
      </c>
      <c r="K71" t="str">
        <f t="shared" si="19"/>
        <v>534 4</v>
      </c>
      <c r="L71" t="str">
        <f t="shared" si="19"/>
        <v>741,6</v>
      </c>
      <c r="M71" t="str">
        <f t="shared" si="19"/>
        <v>510,2</v>
      </c>
      <c r="N71" t="str">
        <f t="shared" si="19"/>
        <v>467,2</v>
      </c>
      <c r="O71" t="str">
        <f t="shared" si="19"/>
        <v>614,5</v>
      </c>
      <c r="P71" t="str">
        <f t="shared" si="19"/>
        <v>415,3</v>
      </c>
      <c r="Q71" t="str">
        <f t="shared" ref="Q71" si="37">SUBSTITUTE(Q33,".",",")</f>
        <v xml:space="preserve"> 406,3</v>
      </c>
      <c r="R71" t="str">
        <f t="shared" si="36"/>
        <v xml:space="preserve"> 532,9</v>
      </c>
      <c r="T71" s="6" t="s">
        <v>245</v>
      </c>
      <c r="U71" t="str">
        <f t="shared" si="32"/>
        <v>3211216,55</v>
      </c>
      <c r="V71">
        <f t="shared" si="33"/>
        <v>3211216.55</v>
      </c>
    </row>
    <row r="72" spans="1:22" x14ac:dyDescent="0.15">
      <c r="T72" s="6">
        <v>1.252731219E+16</v>
      </c>
      <c r="U72" t="str">
        <f t="shared" si="32"/>
        <v>12527312190000000</v>
      </c>
      <c r="V72">
        <f t="shared" si="33"/>
        <v>1.252731219E+16</v>
      </c>
    </row>
    <row r="73" spans="1:22" ht="13" customHeight="1" x14ac:dyDescent="0.15">
      <c r="A73" s="11" t="s">
        <v>743</v>
      </c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T73" s="6">
        <v>5981083589999990</v>
      </c>
      <c r="U73" t="str">
        <f t="shared" si="32"/>
        <v>5981083589999990</v>
      </c>
      <c r="V73">
        <f t="shared" si="33"/>
        <v>5981083589999990</v>
      </c>
    </row>
    <row r="74" spans="1:22" x14ac:dyDescent="0.15">
      <c r="T74" s="6">
        <v>3748025899999990</v>
      </c>
      <c r="U74" t="str">
        <f t="shared" si="32"/>
        <v>3748025899999990</v>
      </c>
      <c r="V74">
        <f t="shared" si="33"/>
        <v>3748025899999990</v>
      </c>
    </row>
    <row r="75" spans="1:22" x14ac:dyDescent="0.15">
      <c r="T75" s="6">
        <v>7091715529999990</v>
      </c>
      <c r="U75" t="str">
        <f t="shared" si="32"/>
        <v>7091715529999990</v>
      </c>
      <c r="V75">
        <f t="shared" si="33"/>
        <v>7091715529999990</v>
      </c>
    </row>
    <row r="76" spans="1:22" x14ac:dyDescent="0.15">
      <c r="A76" s="6">
        <v>2004</v>
      </c>
      <c r="B76" s="6" t="s">
        <v>744</v>
      </c>
      <c r="C76" s="6" t="s">
        <v>745</v>
      </c>
      <c r="D76" s="6" t="s">
        <v>746</v>
      </c>
      <c r="E76" s="6">
        <f>D76+1</f>
        <v>2008</v>
      </c>
      <c r="F76" s="6">
        <f t="shared" ref="F76:Q76" si="38">E76+1</f>
        <v>2009</v>
      </c>
      <c r="G76" s="6">
        <f t="shared" si="38"/>
        <v>2010</v>
      </c>
      <c r="H76" s="6">
        <f t="shared" si="38"/>
        <v>2011</v>
      </c>
      <c r="I76" s="6">
        <f t="shared" si="38"/>
        <v>2012</v>
      </c>
      <c r="J76" s="6">
        <f t="shared" si="38"/>
        <v>2013</v>
      </c>
      <c r="K76" s="6">
        <f t="shared" si="38"/>
        <v>2014</v>
      </c>
      <c r="L76" s="6">
        <f t="shared" si="38"/>
        <v>2015</v>
      </c>
      <c r="M76" s="6">
        <f t="shared" si="38"/>
        <v>2016</v>
      </c>
      <c r="N76" s="6">
        <f t="shared" si="38"/>
        <v>2017</v>
      </c>
      <c r="O76" s="6">
        <f t="shared" si="38"/>
        <v>2018</v>
      </c>
      <c r="P76" s="6">
        <f t="shared" si="38"/>
        <v>2019</v>
      </c>
      <c r="Q76" s="6">
        <f t="shared" si="38"/>
        <v>2020</v>
      </c>
      <c r="T76" s="6" t="s">
        <v>336</v>
      </c>
      <c r="U76" t="str">
        <f t="shared" si="32"/>
        <v>8226710,19</v>
      </c>
      <c r="V76">
        <f t="shared" si="33"/>
        <v>8226710.1900000004</v>
      </c>
    </row>
    <row r="77" spans="1:22" x14ac:dyDescent="0.15">
      <c r="A77">
        <f>_xlfn.NUMBERVALUE(A40)</f>
        <v>711.3</v>
      </c>
      <c r="B77">
        <f t="shared" ref="B77:R77" si="39">_xlfn.NUMBERVALUE(B40)</f>
        <v>509.3</v>
      </c>
      <c r="C77">
        <f t="shared" si="39"/>
        <v>655.1</v>
      </c>
      <c r="D77">
        <f t="shared" si="39"/>
        <v>582.20000000000005</v>
      </c>
      <c r="E77">
        <f t="shared" si="39"/>
        <v>656.9</v>
      </c>
      <c r="F77">
        <f t="shared" si="39"/>
        <v>414.9</v>
      </c>
      <c r="G77">
        <f t="shared" si="39"/>
        <v>493.1</v>
      </c>
      <c r="H77">
        <f t="shared" si="39"/>
        <v>257.8</v>
      </c>
      <c r="I77">
        <f t="shared" si="39"/>
        <v>447.7</v>
      </c>
      <c r="J77">
        <f t="shared" si="39"/>
        <v>756</v>
      </c>
      <c r="K77">
        <f t="shared" si="39"/>
        <v>534.70000000000005</v>
      </c>
      <c r="L77">
        <f t="shared" si="39"/>
        <v>836.7</v>
      </c>
      <c r="M77">
        <f t="shared" si="39"/>
        <v>574.9</v>
      </c>
      <c r="N77">
        <f>_xlfn.NUMBERVALUE(N40)</f>
        <v>579.4</v>
      </c>
      <c r="O77">
        <f t="shared" si="39"/>
        <v>768.7</v>
      </c>
      <c r="P77">
        <f t="shared" si="39"/>
        <v>453.1</v>
      </c>
      <c r="Q77">
        <f t="shared" si="39"/>
        <v>498.1</v>
      </c>
      <c r="R77">
        <f t="shared" si="39"/>
        <v>672.3</v>
      </c>
      <c r="T77" s="6">
        <v>4505812440000000</v>
      </c>
      <c r="U77" t="str">
        <f t="shared" si="32"/>
        <v>4505812440000000</v>
      </c>
      <c r="V77">
        <f t="shared" si="33"/>
        <v>4505812440000000</v>
      </c>
    </row>
    <row r="78" spans="1:22" x14ac:dyDescent="0.15">
      <c r="A78">
        <f t="shared" ref="A78:R78" si="40">_xlfn.NUMBERVALUE(A41)</f>
        <v>357.5</v>
      </c>
      <c r="B78">
        <f t="shared" si="40"/>
        <v>184.6</v>
      </c>
      <c r="C78">
        <f t="shared" si="40"/>
        <v>110.5</v>
      </c>
      <c r="D78">
        <f t="shared" si="40"/>
        <v>105.5</v>
      </c>
      <c r="E78">
        <f t="shared" si="40"/>
        <v>261.2</v>
      </c>
      <c r="F78">
        <f t="shared" si="40"/>
        <v>115.4</v>
      </c>
      <c r="G78">
        <f t="shared" si="40"/>
        <v>297.39999999999998</v>
      </c>
      <c r="H78">
        <f t="shared" si="40"/>
        <v>206.8</v>
      </c>
      <c r="I78">
        <f t="shared" si="40"/>
        <v>150.30000000000001</v>
      </c>
      <c r="J78">
        <f t="shared" si="40"/>
        <v>193.8</v>
      </c>
      <c r="K78">
        <f t="shared" si="40"/>
        <v>85.1</v>
      </c>
      <c r="L78">
        <f t="shared" si="40"/>
        <v>262.89999999999998</v>
      </c>
      <c r="M78">
        <f t="shared" si="40"/>
        <v>219</v>
      </c>
      <c r="N78">
        <f t="shared" si="40"/>
        <v>131.80000000000001</v>
      </c>
      <c r="O78">
        <f t="shared" si="40"/>
        <v>125.3</v>
      </c>
      <c r="P78">
        <f t="shared" si="40"/>
        <v>206.1</v>
      </c>
      <c r="Q78">
        <f t="shared" si="40"/>
        <v>103.5</v>
      </c>
      <c r="R78">
        <f t="shared" si="40"/>
        <v>99.1</v>
      </c>
      <c r="T78" s="6">
        <v>7003302550000000</v>
      </c>
      <c r="U78" t="str">
        <f t="shared" si="32"/>
        <v>7003302550000000</v>
      </c>
      <c r="V78">
        <f t="shared" si="33"/>
        <v>7003302550000000</v>
      </c>
    </row>
    <row r="79" spans="1:22" x14ac:dyDescent="0.15">
      <c r="A79">
        <f t="shared" ref="A79:R79" si="41">_xlfn.NUMBERVALUE(A42)</f>
        <v>203.4</v>
      </c>
      <c r="B79">
        <f t="shared" si="41"/>
        <v>189.9</v>
      </c>
      <c r="C79">
        <f t="shared" si="41"/>
        <v>130.9</v>
      </c>
      <c r="D79">
        <f t="shared" si="41"/>
        <v>310</v>
      </c>
      <c r="E79">
        <f t="shared" si="41"/>
        <v>166.8</v>
      </c>
      <c r="F79">
        <f t="shared" si="41"/>
        <v>225.6</v>
      </c>
      <c r="G79">
        <f t="shared" si="41"/>
        <v>109.3</v>
      </c>
      <c r="H79">
        <f t="shared" si="41"/>
        <v>69.400000000000006</v>
      </c>
      <c r="I79">
        <f t="shared" si="41"/>
        <v>305.89999999999998</v>
      </c>
      <c r="J79">
        <f t="shared" si="41"/>
        <v>229</v>
      </c>
      <c r="K79">
        <f t="shared" si="41"/>
        <v>334.7</v>
      </c>
      <c r="L79">
        <f t="shared" si="41"/>
        <v>361.7</v>
      </c>
      <c r="M79">
        <f t="shared" si="41"/>
        <v>200</v>
      </c>
      <c r="N79">
        <f t="shared" si="41"/>
        <v>174.8</v>
      </c>
      <c r="O79">
        <f t="shared" si="41"/>
        <v>163.19999999999999</v>
      </c>
      <c r="P79">
        <f t="shared" si="41"/>
        <v>270.60000000000002</v>
      </c>
      <c r="Q79">
        <f t="shared" si="41"/>
        <v>103</v>
      </c>
      <c r="R79">
        <f t="shared" si="41"/>
        <v>173.5</v>
      </c>
      <c r="T79" s="6">
        <v>2289753426000000</v>
      </c>
      <c r="U79" t="str">
        <f t="shared" si="32"/>
        <v>2289753426000000</v>
      </c>
      <c r="V79">
        <f t="shared" si="33"/>
        <v>2289753426000000</v>
      </c>
    </row>
    <row r="80" spans="1:22" x14ac:dyDescent="0.15">
      <c r="A80">
        <f t="shared" ref="A80:R80" si="42">_xlfn.NUMBERVALUE(A43)</f>
        <v>1225.2</v>
      </c>
      <c r="B80">
        <f t="shared" si="42"/>
        <v>1790.4</v>
      </c>
      <c r="C80">
        <f t="shared" si="42"/>
        <v>1533.5</v>
      </c>
      <c r="D80">
        <f t="shared" si="42"/>
        <v>1307.0999999999999</v>
      </c>
      <c r="E80">
        <f t="shared" si="42"/>
        <v>1560</v>
      </c>
      <c r="F80">
        <f t="shared" si="42"/>
        <v>1133.5</v>
      </c>
      <c r="G80">
        <f t="shared" si="42"/>
        <v>1425.2</v>
      </c>
      <c r="H80">
        <f t="shared" si="42"/>
        <v>1180.9000000000001</v>
      </c>
      <c r="I80">
        <f t="shared" si="42"/>
        <v>1141.2</v>
      </c>
      <c r="J80">
        <f t="shared" si="42"/>
        <v>1697.4</v>
      </c>
      <c r="K80">
        <f t="shared" si="42"/>
        <v>1390.1</v>
      </c>
      <c r="L80">
        <f t="shared" si="42"/>
        <v>1326.1</v>
      </c>
      <c r="M80">
        <f t="shared" si="42"/>
        <v>1177</v>
      </c>
      <c r="N80">
        <f t="shared" si="42"/>
        <v>1407.3</v>
      </c>
      <c r="O80">
        <f t="shared" si="42"/>
        <v>1389.8</v>
      </c>
      <c r="P80">
        <f t="shared" si="42"/>
        <v>1303.2</v>
      </c>
      <c r="Q80">
        <f t="shared" si="42"/>
        <v>1779.3</v>
      </c>
      <c r="R80">
        <f t="shared" si="42"/>
        <v>1218.7</v>
      </c>
      <c r="T80" s="6">
        <v>8630832220000000</v>
      </c>
      <c r="U80" t="str">
        <f t="shared" si="32"/>
        <v>8630832220000000</v>
      </c>
      <c r="V80">
        <f t="shared" si="33"/>
        <v>8630832220000000</v>
      </c>
    </row>
    <row r="81" spans="1:22" x14ac:dyDescent="0.15">
      <c r="A81">
        <f t="shared" ref="A81:R81" si="43">_xlfn.NUMBERVALUE(A44)</f>
        <v>594.20000000000005</v>
      </c>
      <c r="B81">
        <f t="shared" si="43"/>
        <v>471.1</v>
      </c>
      <c r="C81">
        <f t="shared" si="43"/>
        <v>320.7</v>
      </c>
      <c r="D81">
        <f t="shared" si="43"/>
        <v>522.29999999999995</v>
      </c>
      <c r="E81">
        <f t="shared" si="43"/>
        <v>459</v>
      </c>
      <c r="F81">
        <f t="shared" si="43"/>
        <v>330.8</v>
      </c>
      <c r="G81">
        <f t="shared" si="43"/>
        <v>592</v>
      </c>
      <c r="H81">
        <f t="shared" si="43"/>
        <v>176</v>
      </c>
      <c r="I81">
        <f t="shared" si="43"/>
        <v>323.60000000000002</v>
      </c>
      <c r="J81">
        <f t="shared" si="43"/>
        <v>443.6</v>
      </c>
      <c r="K81">
        <f t="shared" si="43"/>
        <v>423.8</v>
      </c>
      <c r="L81">
        <f t="shared" si="43"/>
        <v>525</v>
      </c>
      <c r="M81">
        <f t="shared" si="43"/>
        <v>554.79999999999995</v>
      </c>
      <c r="N81">
        <f t="shared" si="43"/>
        <v>358.6</v>
      </c>
      <c r="O81">
        <f t="shared" si="43"/>
        <v>396.8</v>
      </c>
      <c r="P81">
        <f t="shared" si="43"/>
        <v>261.5</v>
      </c>
      <c r="Q81">
        <f t="shared" si="43"/>
        <v>227.2</v>
      </c>
      <c r="R81">
        <f t="shared" si="43"/>
        <v>246.5</v>
      </c>
      <c r="T81" s="6">
        <v>8879598310000010</v>
      </c>
      <c r="U81" t="str">
        <f t="shared" si="32"/>
        <v>8879598310000010</v>
      </c>
      <c r="V81">
        <f t="shared" si="33"/>
        <v>8879598310000010</v>
      </c>
    </row>
    <row r="82" spans="1:22" x14ac:dyDescent="0.15">
      <c r="A82">
        <f t="shared" ref="A82:R82" si="44">_xlfn.NUMBERVALUE(A45)</f>
        <v>978</v>
      </c>
      <c r="B82">
        <f t="shared" si="44"/>
        <v>726.1</v>
      </c>
      <c r="C82">
        <f t="shared" si="44"/>
        <v>1102.8</v>
      </c>
      <c r="D82">
        <f t="shared" si="44"/>
        <v>1029.0999999999999</v>
      </c>
      <c r="E82">
        <f t="shared" si="44"/>
        <v>933.1</v>
      </c>
      <c r="F82">
        <f t="shared" si="44"/>
        <v>860.4</v>
      </c>
      <c r="G82">
        <f t="shared" si="44"/>
        <v>1200.8</v>
      </c>
      <c r="H82">
        <f t="shared" si="44"/>
        <v>1366.1</v>
      </c>
      <c r="I82">
        <f t="shared" si="44"/>
        <v>990.6</v>
      </c>
      <c r="J82">
        <f t="shared" si="44"/>
        <v>1877.1</v>
      </c>
      <c r="K82">
        <f t="shared" si="44"/>
        <v>1920</v>
      </c>
      <c r="L82">
        <f t="shared" si="44"/>
        <v>1956.7</v>
      </c>
      <c r="M82">
        <f t="shared" si="44"/>
        <v>1333.2</v>
      </c>
      <c r="N82">
        <f t="shared" si="44"/>
        <v>1728.9</v>
      </c>
      <c r="O82">
        <f t="shared" si="44"/>
        <v>1611.7</v>
      </c>
      <c r="P82">
        <f t="shared" si="44"/>
        <v>1816.7</v>
      </c>
      <c r="Q82">
        <f t="shared" si="44"/>
        <v>1665.1</v>
      </c>
      <c r="R82">
        <f t="shared" si="44"/>
        <v>2280.6999999999998</v>
      </c>
      <c r="T82" s="6" t="s">
        <v>444</v>
      </c>
      <c r="U82" t="str">
        <f t="shared" si="32"/>
        <v>3179028,71</v>
      </c>
      <c r="V82">
        <f t="shared" si="33"/>
        <v>3179028.71</v>
      </c>
    </row>
    <row r="83" spans="1:22" x14ac:dyDescent="0.15">
      <c r="A83">
        <f t="shared" ref="A83:R83" si="45">_xlfn.NUMBERVALUE(A46)</f>
        <v>1713.8</v>
      </c>
      <c r="B83">
        <f t="shared" si="45"/>
        <v>2190.6999999999998</v>
      </c>
      <c r="C83">
        <f t="shared" si="45"/>
        <v>2354.1999999999998</v>
      </c>
      <c r="D83">
        <f t="shared" si="45"/>
        <v>2302.6</v>
      </c>
      <c r="E83">
        <f t="shared" si="45"/>
        <v>2354.9</v>
      </c>
      <c r="F83">
        <f t="shared" si="45"/>
        <v>1953.1</v>
      </c>
      <c r="G83">
        <f t="shared" si="45"/>
        <v>2730.3</v>
      </c>
      <c r="H83">
        <f t="shared" si="45"/>
        <v>2381.6</v>
      </c>
      <c r="I83">
        <f t="shared" si="45"/>
        <v>1885.3</v>
      </c>
      <c r="J83">
        <f t="shared" si="45"/>
        <v>2278.6</v>
      </c>
      <c r="K83">
        <f t="shared" si="45"/>
        <v>4056.1</v>
      </c>
      <c r="L83">
        <f t="shared" si="45"/>
        <v>1741.1</v>
      </c>
      <c r="M83">
        <f t="shared" si="45"/>
        <v>1614.2</v>
      </c>
      <c r="N83">
        <f t="shared" si="45"/>
        <v>1994</v>
      </c>
      <c r="O83">
        <f t="shared" si="45"/>
        <v>1705.3</v>
      </c>
      <c r="P83">
        <f t="shared" si="45"/>
        <v>1767.4</v>
      </c>
      <c r="Q83">
        <f t="shared" si="45"/>
        <v>2167.9</v>
      </c>
      <c r="R83">
        <f t="shared" si="45"/>
        <v>1807.2</v>
      </c>
      <c r="T83" s="6" t="s">
        <v>462</v>
      </c>
      <c r="U83" t="str">
        <f t="shared" si="32"/>
        <v>5012711,1</v>
      </c>
      <c r="V83">
        <f t="shared" si="33"/>
        <v>5012711.0999999996</v>
      </c>
    </row>
    <row r="84" spans="1:22" x14ac:dyDescent="0.15">
      <c r="A84">
        <f t="shared" ref="A84:R84" si="46">_xlfn.NUMBERVALUE(A47)</f>
        <v>745.4</v>
      </c>
      <c r="B84">
        <f t="shared" si="46"/>
        <v>462.5</v>
      </c>
      <c r="C84">
        <f t="shared" si="46"/>
        <v>607</v>
      </c>
      <c r="D84">
        <f t="shared" si="46"/>
        <v>496.5</v>
      </c>
      <c r="E84">
        <f t="shared" si="46"/>
        <v>550.1</v>
      </c>
      <c r="F84">
        <f t="shared" si="46"/>
        <v>468.9</v>
      </c>
      <c r="G84">
        <f t="shared" si="46"/>
        <v>470</v>
      </c>
      <c r="H84">
        <f t="shared" si="46"/>
        <v>260.5</v>
      </c>
      <c r="I84">
        <f t="shared" si="46"/>
        <v>471.5</v>
      </c>
      <c r="J84">
        <f t="shared" si="46"/>
        <v>618.1</v>
      </c>
      <c r="K84">
        <f t="shared" si="46"/>
        <v>490</v>
      </c>
      <c r="L84">
        <f t="shared" si="46"/>
        <v>630.5</v>
      </c>
      <c r="M84">
        <f t="shared" si="46"/>
        <v>512.5</v>
      </c>
      <c r="N84">
        <f t="shared" si="46"/>
        <v>453.8</v>
      </c>
      <c r="O84">
        <f t="shared" si="46"/>
        <v>490.8</v>
      </c>
      <c r="P84">
        <f t="shared" si="46"/>
        <v>470.3</v>
      </c>
      <c r="Q84">
        <f t="shared" si="46"/>
        <v>260.8</v>
      </c>
      <c r="R84">
        <f t="shared" si="46"/>
        <v>410.6</v>
      </c>
      <c r="T84" s="6">
        <v>2826870449999990</v>
      </c>
      <c r="U84" t="str">
        <f t="shared" si="32"/>
        <v>2826870449999990</v>
      </c>
      <c r="V84">
        <f t="shared" si="33"/>
        <v>2826870449999990</v>
      </c>
    </row>
    <row r="85" spans="1:22" x14ac:dyDescent="0.15">
      <c r="A85">
        <f t="shared" ref="A85:R85" si="47">_xlfn.NUMBERVALUE(A48)</f>
        <v>728.6</v>
      </c>
      <c r="B85">
        <f t="shared" si="47"/>
        <v>645.29999999999995</v>
      </c>
      <c r="C85">
        <f t="shared" si="47"/>
        <v>882.4</v>
      </c>
      <c r="D85">
        <f t="shared" si="47"/>
        <v>866.5</v>
      </c>
      <c r="E85">
        <f t="shared" si="47"/>
        <v>740.9</v>
      </c>
      <c r="F85">
        <f t="shared" si="47"/>
        <v>713.1</v>
      </c>
      <c r="G85">
        <f t="shared" si="47"/>
        <v>697.9</v>
      </c>
      <c r="H85">
        <f t="shared" si="47"/>
        <v>782.6</v>
      </c>
      <c r="I85">
        <f t="shared" si="47"/>
        <v>568.9</v>
      </c>
      <c r="J85">
        <f t="shared" si="47"/>
        <v>697.8</v>
      </c>
      <c r="K85">
        <f t="shared" si="47"/>
        <v>615.6</v>
      </c>
      <c r="L85">
        <f t="shared" si="47"/>
        <v>491.8</v>
      </c>
      <c r="M85">
        <f t="shared" si="47"/>
        <v>655.9</v>
      </c>
      <c r="N85">
        <f t="shared" si="47"/>
        <v>488</v>
      </c>
      <c r="O85">
        <f t="shared" si="47"/>
        <v>786.2</v>
      </c>
      <c r="P85">
        <f t="shared" si="47"/>
        <v>565.29999999999995</v>
      </c>
      <c r="Q85">
        <f t="shared" si="47"/>
        <v>469.7</v>
      </c>
      <c r="R85">
        <f t="shared" si="47"/>
        <v>637.1</v>
      </c>
      <c r="T85" s="6" t="s">
        <v>499</v>
      </c>
      <c r="U85" t="str">
        <f t="shared" si="32"/>
        <v>13662122,3</v>
      </c>
      <c r="V85">
        <f t="shared" si="33"/>
        <v>13662122.300000001</v>
      </c>
    </row>
    <row r="86" spans="1:22" x14ac:dyDescent="0.15">
      <c r="A86">
        <f t="shared" ref="A86:R86" si="48">_xlfn.NUMBERVALUE(A49)</f>
        <v>644.70000000000005</v>
      </c>
      <c r="B86">
        <f t="shared" si="48"/>
        <v>373.8</v>
      </c>
      <c r="C86">
        <f t="shared" si="48"/>
        <v>581.9</v>
      </c>
      <c r="D86">
        <f t="shared" si="48"/>
        <v>429.6</v>
      </c>
      <c r="E86">
        <f t="shared" si="48"/>
        <v>642.6</v>
      </c>
      <c r="F86">
        <f t="shared" si="48"/>
        <v>519.4</v>
      </c>
      <c r="G86">
        <f t="shared" si="48"/>
        <v>559.29999999999995</v>
      </c>
      <c r="H86">
        <f t="shared" si="48"/>
        <v>245.6</v>
      </c>
      <c r="I86">
        <f t="shared" si="48"/>
        <v>406.3</v>
      </c>
      <c r="J86">
        <f t="shared" si="48"/>
        <v>516.79999999999995</v>
      </c>
      <c r="K86">
        <f t="shared" si="48"/>
        <v>496.6</v>
      </c>
      <c r="L86">
        <f t="shared" si="48"/>
        <v>627.1</v>
      </c>
      <c r="M86">
        <f t="shared" si="48"/>
        <v>509.8</v>
      </c>
      <c r="N86">
        <f t="shared" si="48"/>
        <v>454.6</v>
      </c>
      <c r="O86">
        <f t="shared" si="48"/>
        <v>520.5</v>
      </c>
      <c r="P86">
        <f t="shared" si="48"/>
        <v>428.8</v>
      </c>
      <c r="Q86">
        <f t="shared" si="48"/>
        <v>390.4</v>
      </c>
      <c r="R86">
        <f t="shared" si="48"/>
        <v>469.9</v>
      </c>
      <c r="T86" s="6">
        <v>5.5138442299999904E+16</v>
      </c>
      <c r="U86" t="str">
        <f t="shared" si="32"/>
        <v>55138442299999900</v>
      </c>
      <c r="V86">
        <f t="shared" si="33"/>
        <v>5.5138442299999904E+16</v>
      </c>
    </row>
    <row r="87" spans="1:22" x14ac:dyDescent="0.15">
      <c r="A87">
        <f t="shared" ref="A87:R87" si="49">_xlfn.NUMBERVALUE(A50)</f>
        <v>877.9</v>
      </c>
      <c r="B87">
        <f t="shared" si="49"/>
        <v>510</v>
      </c>
      <c r="C87">
        <f t="shared" si="49"/>
        <v>779.9</v>
      </c>
      <c r="D87">
        <f t="shared" si="49"/>
        <v>798.7</v>
      </c>
      <c r="E87">
        <f t="shared" si="49"/>
        <v>732.8</v>
      </c>
      <c r="F87">
        <f t="shared" si="49"/>
        <v>623.20000000000005</v>
      </c>
      <c r="G87">
        <f t="shared" si="49"/>
        <v>797.7</v>
      </c>
      <c r="H87">
        <f t="shared" si="49"/>
        <v>378.7</v>
      </c>
      <c r="I87">
        <f t="shared" si="49"/>
        <v>573.29999999999995</v>
      </c>
      <c r="J87">
        <f t="shared" si="49"/>
        <v>762.1</v>
      </c>
      <c r="K87">
        <f t="shared" si="49"/>
        <v>679</v>
      </c>
      <c r="L87">
        <f t="shared" si="49"/>
        <v>840.8</v>
      </c>
      <c r="M87">
        <f t="shared" si="49"/>
        <v>691.3</v>
      </c>
      <c r="N87">
        <f t="shared" si="49"/>
        <v>611.5</v>
      </c>
      <c r="O87">
        <f t="shared" si="49"/>
        <v>850.3</v>
      </c>
      <c r="P87">
        <f t="shared" si="49"/>
        <v>553.70000000000005</v>
      </c>
      <c r="Q87">
        <f t="shared" si="49"/>
        <v>475.5</v>
      </c>
      <c r="R87">
        <f t="shared" si="49"/>
        <v>780.3</v>
      </c>
      <c r="T87" s="6" t="s">
        <v>535</v>
      </c>
      <c r="U87" t="str">
        <f t="shared" si="32"/>
        <v>1248778,48</v>
      </c>
      <c r="V87">
        <f t="shared" si="33"/>
        <v>1248778.48</v>
      </c>
    </row>
    <row r="88" spans="1:22" x14ac:dyDescent="0.15">
      <c r="A88">
        <f t="shared" ref="A88:R88" si="50">_xlfn.NUMBERVALUE(A51)</f>
        <v>1144.2</v>
      </c>
      <c r="B88">
        <f t="shared" si="50"/>
        <v>1108.0999999999999</v>
      </c>
      <c r="C88">
        <f t="shared" si="50"/>
        <v>1294.7</v>
      </c>
      <c r="D88">
        <f t="shared" si="50"/>
        <v>1193.2</v>
      </c>
      <c r="E88">
        <f t="shared" si="50"/>
        <v>1272.4000000000001</v>
      </c>
      <c r="F88">
        <f t="shared" si="50"/>
        <v>991.1</v>
      </c>
      <c r="G88">
        <f t="shared" si="50"/>
        <v>1521</v>
      </c>
      <c r="H88">
        <f t="shared" si="50"/>
        <v>1194.4000000000001</v>
      </c>
      <c r="I88">
        <f t="shared" si="50"/>
        <v>961.5</v>
      </c>
      <c r="J88">
        <f t="shared" si="50"/>
        <v>1270.5999999999999</v>
      </c>
      <c r="K88">
        <f t="shared" si="50"/>
        <v>1223.9000000000001</v>
      </c>
      <c r="L88">
        <f t="shared" si="50"/>
        <v>1003.3</v>
      </c>
      <c r="M88">
        <f t="shared" si="50"/>
        <v>985.5</v>
      </c>
      <c r="N88">
        <f t="shared" si="50"/>
        <v>1161.0999999999999</v>
      </c>
      <c r="O88">
        <f t="shared" si="50"/>
        <v>1159</v>
      </c>
      <c r="P88">
        <f t="shared" si="50"/>
        <v>1102.0999999999999</v>
      </c>
      <c r="Q88">
        <f t="shared" si="50"/>
        <v>928</v>
      </c>
      <c r="R88">
        <f t="shared" si="50"/>
        <v>1278.2</v>
      </c>
      <c r="T88" s="6">
        <v>1.85614458E+16</v>
      </c>
      <c r="U88" t="str">
        <f t="shared" si="32"/>
        <v>18561445800000000</v>
      </c>
      <c r="V88">
        <f t="shared" si="33"/>
        <v>1.85614458E+16</v>
      </c>
    </row>
    <row r="89" spans="1:22" x14ac:dyDescent="0.15">
      <c r="A89">
        <f t="shared" ref="A89:R89" si="51">_xlfn.NUMBERVALUE(A52)</f>
        <v>629.4</v>
      </c>
      <c r="B89">
        <f t="shared" si="51"/>
        <v>694.9</v>
      </c>
      <c r="C89">
        <f t="shared" si="51"/>
        <v>695.1</v>
      </c>
      <c r="D89">
        <f t="shared" si="51"/>
        <v>891.2</v>
      </c>
      <c r="E89">
        <f t="shared" si="51"/>
        <v>803.5</v>
      </c>
      <c r="F89">
        <f t="shared" si="51"/>
        <v>790.4</v>
      </c>
      <c r="G89">
        <f t="shared" si="51"/>
        <v>938.7</v>
      </c>
      <c r="H89">
        <f t="shared" si="51"/>
        <v>705.1</v>
      </c>
      <c r="I89">
        <f t="shared" si="51"/>
        <v>652.4</v>
      </c>
      <c r="J89">
        <f t="shared" si="51"/>
        <v>796.8</v>
      </c>
      <c r="K89">
        <f t="shared" si="51"/>
        <v>754.8</v>
      </c>
      <c r="L89">
        <f t="shared" si="51"/>
        <v>6814</v>
      </c>
      <c r="M89">
        <f t="shared" si="51"/>
        <v>694.3</v>
      </c>
      <c r="N89">
        <f t="shared" si="51"/>
        <v>653.20000000000005</v>
      </c>
      <c r="O89">
        <f t="shared" si="51"/>
        <v>574</v>
      </c>
      <c r="P89">
        <f t="shared" si="51"/>
        <v>438.8</v>
      </c>
      <c r="Q89">
        <f t="shared" si="51"/>
        <v>501.5</v>
      </c>
      <c r="R89">
        <f t="shared" si="51"/>
        <v>632.4</v>
      </c>
      <c r="T89" s="6">
        <v>6221943919999990</v>
      </c>
      <c r="U89" t="str">
        <f t="shared" si="32"/>
        <v>6221943919999990</v>
      </c>
      <c r="V89">
        <f t="shared" si="33"/>
        <v>6221943919999990</v>
      </c>
    </row>
    <row r="90" spans="1:22" x14ac:dyDescent="0.15">
      <c r="A90">
        <f t="shared" ref="A90:R90" si="52">_xlfn.NUMBERVALUE(A53)</f>
        <v>1049.5</v>
      </c>
      <c r="B90">
        <f t="shared" si="52"/>
        <v>664</v>
      </c>
      <c r="C90">
        <f t="shared" si="52"/>
        <v>891.5</v>
      </c>
      <c r="D90">
        <f t="shared" si="52"/>
        <v>836.5</v>
      </c>
      <c r="E90">
        <f t="shared" si="52"/>
        <v>868.8</v>
      </c>
      <c r="F90">
        <f t="shared" si="52"/>
        <v>703.7</v>
      </c>
      <c r="G90">
        <f t="shared" si="52"/>
        <v>940.3</v>
      </c>
      <c r="H90">
        <f t="shared" si="52"/>
        <v>602.29999999999995</v>
      </c>
      <c r="I90">
        <f t="shared" si="52"/>
        <v>669.1</v>
      </c>
      <c r="J90">
        <f t="shared" si="52"/>
        <v>1062.8</v>
      </c>
      <c r="K90">
        <f t="shared" si="52"/>
        <v>981.5</v>
      </c>
      <c r="L90">
        <f t="shared" si="52"/>
        <v>1145.8</v>
      </c>
      <c r="M90">
        <f t="shared" si="52"/>
        <v>926.2</v>
      </c>
      <c r="N90">
        <f t="shared" si="52"/>
        <v>946.1</v>
      </c>
      <c r="O90">
        <f t="shared" si="52"/>
        <v>1075.9000000000001</v>
      </c>
      <c r="P90">
        <f t="shared" si="52"/>
        <v>926.4</v>
      </c>
      <c r="Q90">
        <f t="shared" si="52"/>
        <v>874.2</v>
      </c>
      <c r="R90">
        <f t="shared" si="52"/>
        <v>1106.4000000000001</v>
      </c>
      <c r="T90" s="6">
        <v>1.09897756299999E+16</v>
      </c>
      <c r="U90" t="str">
        <f t="shared" si="32"/>
        <v>10989775629999900</v>
      </c>
      <c r="V90">
        <f t="shared" si="33"/>
        <v>1.09897756299999E+16</v>
      </c>
    </row>
    <row r="91" spans="1:22" x14ac:dyDescent="0.15">
      <c r="A91">
        <f t="shared" ref="A91:R91" si="53">_xlfn.NUMBERVALUE(A54)</f>
        <v>751.1</v>
      </c>
      <c r="B91">
        <f t="shared" si="53"/>
        <v>549.1</v>
      </c>
      <c r="C91">
        <f t="shared" si="53"/>
        <v>719.1</v>
      </c>
      <c r="D91">
        <f t="shared" si="53"/>
        <v>876.3</v>
      </c>
      <c r="E91">
        <f t="shared" si="53"/>
        <v>679.6</v>
      </c>
      <c r="F91">
        <f t="shared" si="53"/>
        <v>725.7</v>
      </c>
      <c r="G91">
        <f t="shared" si="53"/>
        <v>809.7</v>
      </c>
      <c r="H91">
        <f t="shared" si="53"/>
        <v>657.6</v>
      </c>
      <c r="I91">
        <f t="shared" si="53"/>
        <v>628.5</v>
      </c>
      <c r="J91">
        <f t="shared" si="53"/>
        <v>842.9</v>
      </c>
      <c r="K91">
        <f t="shared" si="53"/>
        <v>884.7</v>
      </c>
      <c r="L91">
        <f t="shared" si="53"/>
        <v>858.5</v>
      </c>
      <c r="M91">
        <f t="shared" si="53"/>
        <v>915</v>
      </c>
      <c r="N91">
        <f t="shared" si="53"/>
        <v>865.3</v>
      </c>
      <c r="O91">
        <f t="shared" si="53"/>
        <v>1098.7</v>
      </c>
      <c r="P91">
        <f t="shared" si="53"/>
        <v>837.6</v>
      </c>
      <c r="Q91">
        <f t="shared" si="53"/>
        <v>758.9</v>
      </c>
      <c r="R91">
        <f t="shared" si="53"/>
        <v>933.8</v>
      </c>
      <c r="T91" s="6">
        <v>4684924210000000</v>
      </c>
      <c r="U91" t="str">
        <f t="shared" si="32"/>
        <v>4684924210000000</v>
      </c>
      <c r="V91">
        <f t="shared" si="33"/>
        <v>4684924210000000</v>
      </c>
    </row>
    <row r="92" spans="1:22" x14ac:dyDescent="0.15">
      <c r="A92">
        <f t="shared" ref="A92:R92" si="54">_xlfn.NUMBERVALUE(A55)</f>
        <v>916.7</v>
      </c>
      <c r="B92">
        <f t="shared" si="54"/>
        <v>689.2</v>
      </c>
      <c r="C92">
        <f t="shared" si="54"/>
        <v>890</v>
      </c>
      <c r="D92">
        <f t="shared" si="54"/>
        <v>824</v>
      </c>
      <c r="E92">
        <f t="shared" si="54"/>
        <v>824.7</v>
      </c>
      <c r="F92">
        <f t="shared" si="54"/>
        <v>765.6</v>
      </c>
      <c r="G92">
        <f t="shared" si="54"/>
        <v>1086.3</v>
      </c>
      <c r="H92">
        <f t="shared" si="54"/>
        <v>689.8</v>
      </c>
      <c r="I92">
        <f t="shared" si="54"/>
        <v>754.8</v>
      </c>
      <c r="J92">
        <f t="shared" si="54"/>
        <v>1075.3</v>
      </c>
      <c r="K92">
        <f t="shared" si="54"/>
        <v>885.1</v>
      </c>
      <c r="L92">
        <f t="shared" si="54"/>
        <v>996.6</v>
      </c>
      <c r="M92">
        <f t="shared" si="54"/>
        <v>722</v>
      </c>
      <c r="N92">
        <f t="shared" si="54"/>
        <v>792.8</v>
      </c>
      <c r="O92">
        <f t="shared" si="54"/>
        <v>1114.0999999999999</v>
      </c>
      <c r="P92">
        <f t="shared" si="54"/>
        <v>829.7</v>
      </c>
      <c r="Q92">
        <f t="shared" si="54"/>
        <v>703</v>
      </c>
      <c r="R92">
        <f t="shared" si="54"/>
        <v>974.1</v>
      </c>
      <c r="T92" s="6">
        <v>2.90312519E+16</v>
      </c>
      <c r="U92" t="str">
        <f t="shared" si="32"/>
        <v>29031251900000000</v>
      </c>
      <c r="V92">
        <f t="shared" si="33"/>
        <v>2.90312519E+16</v>
      </c>
    </row>
    <row r="93" spans="1:22" x14ac:dyDescent="0.15">
      <c r="A93">
        <f t="shared" ref="A93:R93" si="55">_xlfn.NUMBERVALUE(A56)</f>
        <v>1207.5999999999999</v>
      </c>
      <c r="B93">
        <f t="shared" si="55"/>
        <v>714.2</v>
      </c>
      <c r="C93">
        <f t="shared" si="55"/>
        <v>887.2</v>
      </c>
      <c r="D93">
        <f t="shared" si="55"/>
        <v>773.6</v>
      </c>
      <c r="E93">
        <f t="shared" si="55"/>
        <v>1022.7</v>
      </c>
      <c r="F93">
        <f t="shared" si="55"/>
        <v>1031.5999999999999</v>
      </c>
      <c r="G93">
        <f t="shared" si="55"/>
        <v>1206.9000000000001</v>
      </c>
      <c r="H93">
        <f t="shared" si="55"/>
        <v>967.6</v>
      </c>
      <c r="I93">
        <f t="shared" si="55"/>
        <v>840.4</v>
      </c>
      <c r="J93">
        <f t="shared" si="55"/>
        <v>1514.9</v>
      </c>
      <c r="K93">
        <f t="shared" si="55"/>
        <v>1777.8</v>
      </c>
      <c r="L93">
        <f t="shared" si="55"/>
        <v>1327</v>
      </c>
      <c r="M93">
        <f t="shared" si="55"/>
        <v>1781.6</v>
      </c>
      <c r="N93">
        <f t="shared" si="55"/>
        <v>1949.5</v>
      </c>
      <c r="O93">
        <f t="shared" si="55"/>
        <v>1963.7</v>
      </c>
      <c r="P93">
        <f t="shared" si="55"/>
        <v>1691.3</v>
      </c>
      <c r="Q93">
        <f t="shared" si="55"/>
        <v>1507.5</v>
      </c>
      <c r="R93">
        <f t="shared" si="55"/>
        <v>1795.1</v>
      </c>
      <c r="T93" s="6" t="s">
        <v>640</v>
      </c>
      <c r="U93" t="str">
        <f t="shared" si="32"/>
        <v>8055894,07</v>
      </c>
      <c r="V93">
        <f t="shared" si="33"/>
        <v>8055894.0700000003</v>
      </c>
    </row>
    <row r="94" spans="1:22" x14ac:dyDescent="0.15">
      <c r="A94">
        <f t="shared" ref="A94:R94" si="56">_xlfn.NUMBERVALUE(A57)</f>
        <v>1435.1</v>
      </c>
      <c r="B94">
        <f t="shared" si="56"/>
        <v>1215.5</v>
      </c>
      <c r="C94">
        <f t="shared" si="56"/>
        <v>1002</v>
      </c>
      <c r="D94">
        <f t="shared" si="56"/>
        <v>1055</v>
      </c>
      <c r="E94">
        <f t="shared" si="56"/>
        <v>1550.6</v>
      </c>
      <c r="F94">
        <f t="shared" si="56"/>
        <v>1281.2</v>
      </c>
      <c r="G94">
        <f t="shared" si="56"/>
        <v>1649.8</v>
      </c>
      <c r="H94">
        <f t="shared" si="56"/>
        <v>1129.2</v>
      </c>
      <c r="I94">
        <f t="shared" si="56"/>
        <v>1060.0999999999999</v>
      </c>
      <c r="J94">
        <f t="shared" si="56"/>
        <v>1209.4000000000001</v>
      </c>
      <c r="K94">
        <f t="shared" si="56"/>
        <v>1293.0999999999999</v>
      </c>
      <c r="L94">
        <f t="shared" si="56"/>
        <v>1443</v>
      </c>
      <c r="M94">
        <f t="shared" si="56"/>
        <v>1224.4000000000001</v>
      </c>
      <c r="N94">
        <f t="shared" si="56"/>
        <v>1228.2</v>
      </c>
      <c r="O94">
        <f t="shared" si="56"/>
        <v>1356</v>
      </c>
      <c r="P94">
        <f t="shared" si="56"/>
        <v>1225.3</v>
      </c>
      <c r="Q94">
        <f t="shared" si="56"/>
        <v>1140.5</v>
      </c>
      <c r="R94">
        <f t="shared" si="56"/>
        <v>1393.1</v>
      </c>
      <c r="T94" s="6">
        <v>1.33834132999999E+16</v>
      </c>
      <c r="U94" t="str">
        <f t="shared" si="32"/>
        <v>13383413299999900</v>
      </c>
      <c r="V94">
        <f t="shared" si="33"/>
        <v>1.33834132999999E+16</v>
      </c>
    </row>
    <row r="95" spans="1:22" x14ac:dyDescent="0.15">
      <c r="A95">
        <f t="shared" ref="A95:R95" si="57">_xlfn.NUMBERVALUE(A58)</f>
        <v>830.2</v>
      </c>
      <c r="B95">
        <f t="shared" si="57"/>
        <v>919.2</v>
      </c>
      <c r="C95">
        <f t="shared" si="57"/>
        <v>614.29999999999995</v>
      </c>
      <c r="D95">
        <f t="shared" si="57"/>
        <v>698.5</v>
      </c>
      <c r="E95">
        <f t="shared" si="57"/>
        <v>824.1</v>
      </c>
      <c r="F95">
        <f t="shared" si="57"/>
        <v>483.1</v>
      </c>
      <c r="G95">
        <f t="shared" si="57"/>
        <v>1231.2</v>
      </c>
      <c r="H95">
        <f t="shared" si="57"/>
        <v>370.8</v>
      </c>
      <c r="I95">
        <f t="shared" si="57"/>
        <v>562.4</v>
      </c>
      <c r="J95">
        <f t="shared" si="57"/>
        <v>756.5</v>
      </c>
      <c r="K95">
        <f t="shared" si="57"/>
        <v>6834</v>
      </c>
      <c r="L95">
        <f t="shared" si="57"/>
        <v>682.1</v>
      </c>
      <c r="M95">
        <f t="shared" si="57"/>
        <v>612.20000000000005</v>
      </c>
      <c r="N95">
        <f t="shared" si="57"/>
        <v>570</v>
      </c>
      <c r="O95">
        <f t="shared" si="57"/>
        <v>585.20000000000005</v>
      </c>
      <c r="P95">
        <f t="shared" si="57"/>
        <v>499.2</v>
      </c>
      <c r="Q95">
        <f t="shared" si="57"/>
        <v>525.5</v>
      </c>
      <c r="R95">
        <f t="shared" si="57"/>
        <v>497.7</v>
      </c>
      <c r="T95" s="6">
        <v>2.54054144899999E+16</v>
      </c>
      <c r="U95" t="str">
        <f t="shared" si="32"/>
        <v>25405414489999900</v>
      </c>
      <c r="V95">
        <f t="shared" si="33"/>
        <v>2.54054144899999E+16</v>
      </c>
    </row>
    <row r="96" spans="1:22" x14ac:dyDescent="0.15">
      <c r="A96">
        <f t="shared" ref="A96:R96" si="58">_xlfn.NUMBERVALUE(A59)</f>
        <v>1340.7</v>
      </c>
      <c r="B96">
        <f t="shared" si="58"/>
        <v>1618.3</v>
      </c>
      <c r="C96">
        <f t="shared" si="58"/>
        <v>1270.2</v>
      </c>
      <c r="D96">
        <f t="shared" si="58"/>
        <v>1155.2</v>
      </c>
      <c r="E96">
        <f t="shared" si="58"/>
        <v>1710.3</v>
      </c>
      <c r="F96">
        <f t="shared" si="58"/>
        <v>1267.7</v>
      </c>
      <c r="G96">
        <f t="shared" si="58"/>
        <v>1940.1</v>
      </c>
      <c r="H96">
        <f t="shared" si="58"/>
        <v>1388.6</v>
      </c>
      <c r="I96">
        <f t="shared" si="58"/>
        <v>1360</v>
      </c>
      <c r="J96">
        <f t="shared" si="58"/>
        <v>1237.5999999999999</v>
      </c>
      <c r="K96">
        <f t="shared" si="58"/>
        <v>1185.5</v>
      </c>
      <c r="L96">
        <f t="shared" si="58"/>
        <v>1002.4</v>
      </c>
      <c r="M96">
        <f t="shared" si="58"/>
        <v>993.2</v>
      </c>
      <c r="N96">
        <f t="shared" si="58"/>
        <v>1440.8</v>
      </c>
      <c r="O96">
        <f t="shared" si="58"/>
        <v>1217.0999999999999</v>
      </c>
      <c r="P96">
        <f t="shared" si="58"/>
        <v>1089.4000000000001</v>
      </c>
      <c r="Q96">
        <f t="shared" si="58"/>
        <v>1125.5999999999999</v>
      </c>
      <c r="R96">
        <f t="shared" si="58"/>
        <v>1236.8</v>
      </c>
      <c r="T96" s="6" t="s">
        <v>694</v>
      </c>
      <c r="U96" t="str">
        <f t="shared" si="32"/>
        <v>5096405,15</v>
      </c>
      <c r="V96">
        <f t="shared" si="33"/>
        <v>5096405.1500000004</v>
      </c>
    </row>
    <row r="97" spans="1:22" x14ac:dyDescent="0.15">
      <c r="A97">
        <f t="shared" ref="A97:R97" si="59">_xlfn.NUMBERVALUE(A60)</f>
        <v>1302.3</v>
      </c>
      <c r="B97">
        <f t="shared" si="59"/>
        <v>1253.9000000000001</v>
      </c>
      <c r="C97">
        <f t="shared" si="59"/>
        <v>1221.8</v>
      </c>
      <c r="D97">
        <f t="shared" si="59"/>
        <v>1410.1</v>
      </c>
      <c r="E97">
        <f t="shared" si="59"/>
        <v>1395.9</v>
      </c>
      <c r="F97">
        <f t="shared" si="59"/>
        <v>1236.3</v>
      </c>
      <c r="G97">
        <f t="shared" si="59"/>
        <v>1365.1</v>
      </c>
      <c r="H97">
        <f t="shared" si="59"/>
        <v>1280</v>
      </c>
      <c r="I97">
        <f t="shared" si="59"/>
        <v>1390.5</v>
      </c>
      <c r="J97">
        <f t="shared" si="59"/>
        <v>1390</v>
      </c>
      <c r="K97">
        <f t="shared" si="59"/>
        <v>1303</v>
      </c>
      <c r="L97">
        <f t="shared" si="59"/>
        <v>1185.0999999999999</v>
      </c>
      <c r="M97">
        <f t="shared" si="59"/>
        <v>1195.8</v>
      </c>
      <c r="N97">
        <f t="shared" si="59"/>
        <v>1402.3</v>
      </c>
      <c r="O97">
        <f t="shared" si="59"/>
        <v>1247.7</v>
      </c>
      <c r="P97">
        <f t="shared" si="59"/>
        <v>1040.8</v>
      </c>
      <c r="Q97">
        <f t="shared" si="59"/>
        <v>1104.4000000000001</v>
      </c>
      <c r="R97">
        <f t="shared" si="59"/>
        <v>1252.5</v>
      </c>
      <c r="T97" s="6">
        <v>3.98180832E+16</v>
      </c>
      <c r="U97" t="str">
        <f t="shared" si="32"/>
        <v>39818083200000000</v>
      </c>
      <c r="V97">
        <f t="shared" si="33"/>
        <v>3.98180832E+16</v>
      </c>
    </row>
    <row r="98" spans="1:22" x14ac:dyDescent="0.15">
      <c r="A98">
        <f t="shared" ref="A98:R98" si="60">_xlfn.NUMBERVALUE(A61)</f>
        <v>698.5</v>
      </c>
      <c r="B98">
        <f t="shared" si="60"/>
        <v>435</v>
      </c>
      <c r="C98">
        <f t="shared" si="60"/>
        <v>590.20000000000005</v>
      </c>
      <c r="D98">
        <f t="shared" si="60"/>
        <v>639.20000000000005</v>
      </c>
      <c r="E98">
        <f t="shared" si="60"/>
        <v>641.70000000000005</v>
      </c>
      <c r="F98">
        <f t="shared" si="60"/>
        <v>490</v>
      </c>
      <c r="G98">
        <f t="shared" si="60"/>
        <v>717.1</v>
      </c>
      <c r="H98">
        <f t="shared" si="60"/>
        <v>372.3</v>
      </c>
      <c r="I98">
        <f t="shared" si="60"/>
        <v>589.9</v>
      </c>
      <c r="J98">
        <f t="shared" si="60"/>
        <v>780</v>
      </c>
      <c r="K98">
        <f t="shared" si="60"/>
        <v>773.1</v>
      </c>
      <c r="L98">
        <f t="shared" si="60"/>
        <v>756.6</v>
      </c>
      <c r="M98">
        <f t="shared" si="60"/>
        <v>749.8</v>
      </c>
      <c r="N98">
        <f t="shared" si="60"/>
        <v>592.70000000000005</v>
      </c>
      <c r="O98">
        <f t="shared" si="60"/>
        <v>554.1</v>
      </c>
      <c r="P98">
        <f t="shared" si="60"/>
        <v>411.3</v>
      </c>
      <c r="Q98">
        <f t="shared" si="60"/>
        <v>407</v>
      </c>
      <c r="R98">
        <f t="shared" si="60"/>
        <v>648.29999999999995</v>
      </c>
      <c r="T98" s="6" t="s">
        <v>153</v>
      </c>
      <c r="U98" t="str">
        <f t="shared" si="32"/>
        <v>2518485,3</v>
      </c>
      <c r="V98">
        <f t="shared" si="33"/>
        <v>2518485.2999999998</v>
      </c>
    </row>
    <row r="99" spans="1:22" x14ac:dyDescent="0.15">
      <c r="A99">
        <f t="shared" ref="A99:R99" si="61">_xlfn.NUMBERVALUE(A62)</f>
        <v>1087.2</v>
      </c>
      <c r="B99">
        <f t="shared" si="61"/>
        <v>1456.5</v>
      </c>
      <c r="C99">
        <f t="shared" si="61"/>
        <v>1131.9000000000001</v>
      </c>
      <c r="D99">
        <f t="shared" si="61"/>
        <v>1093.3</v>
      </c>
      <c r="E99">
        <f t="shared" si="61"/>
        <v>1209.9000000000001</v>
      </c>
      <c r="F99">
        <f t="shared" si="61"/>
        <v>1100.8</v>
      </c>
      <c r="G99">
        <f t="shared" si="61"/>
        <v>1503.8</v>
      </c>
      <c r="H99">
        <f t="shared" si="61"/>
        <v>1476.3</v>
      </c>
      <c r="I99">
        <f t="shared" si="61"/>
        <v>1338.1</v>
      </c>
      <c r="J99">
        <f t="shared" si="61"/>
        <v>1898.5</v>
      </c>
      <c r="K99">
        <f t="shared" si="61"/>
        <v>1358.3</v>
      </c>
      <c r="L99">
        <f t="shared" si="61"/>
        <v>1495.5</v>
      </c>
      <c r="M99">
        <f t="shared" si="61"/>
        <v>1109.3</v>
      </c>
      <c r="N99">
        <f t="shared" si="61"/>
        <v>1406.8</v>
      </c>
      <c r="O99">
        <f t="shared" si="61"/>
        <v>1306.0999999999999</v>
      </c>
      <c r="P99">
        <f t="shared" si="61"/>
        <v>1036.0999999999999</v>
      </c>
      <c r="Q99">
        <f t="shared" si="61"/>
        <v>1870.7</v>
      </c>
      <c r="R99">
        <f t="shared" si="61"/>
        <v>1303.7</v>
      </c>
      <c r="T99" s="6">
        <v>3.9937289699999904E+16</v>
      </c>
      <c r="U99" t="str">
        <f t="shared" si="32"/>
        <v>39937289699999900</v>
      </c>
      <c r="V99">
        <f t="shared" si="33"/>
        <v>3.9937289699999904E+16</v>
      </c>
    </row>
    <row r="100" spans="1:22" x14ac:dyDescent="0.15">
      <c r="A100">
        <f t="shared" ref="A100:R100" si="62">_xlfn.NUMBERVALUE(A63)</f>
        <v>810.7</v>
      </c>
      <c r="B100">
        <f t="shared" si="62"/>
        <v>808.4</v>
      </c>
      <c r="C100">
        <f t="shared" si="62"/>
        <v>720</v>
      </c>
      <c r="D100">
        <f t="shared" si="62"/>
        <v>1222.7</v>
      </c>
      <c r="E100">
        <f t="shared" si="62"/>
        <v>1375.3</v>
      </c>
      <c r="F100">
        <f t="shared" si="62"/>
        <v>951</v>
      </c>
      <c r="G100">
        <f t="shared" si="62"/>
        <v>1360</v>
      </c>
      <c r="H100">
        <f t="shared" si="62"/>
        <v>922.3</v>
      </c>
      <c r="I100">
        <f t="shared" si="62"/>
        <v>974.5</v>
      </c>
      <c r="J100">
        <f t="shared" si="62"/>
        <v>875.5</v>
      </c>
      <c r="K100">
        <f t="shared" si="62"/>
        <v>808.3</v>
      </c>
      <c r="L100">
        <f t="shared" si="62"/>
        <v>794.1</v>
      </c>
      <c r="M100">
        <f t="shared" si="62"/>
        <v>685.1</v>
      </c>
      <c r="N100">
        <f t="shared" si="62"/>
        <v>617.6</v>
      </c>
      <c r="O100">
        <f t="shared" si="62"/>
        <v>635.4</v>
      </c>
      <c r="P100">
        <f t="shared" si="62"/>
        <v>480.8</v>
      </c>
      <c r="Q100">
        <f t="shared" si="62"/>
        <v>446.3</v>
      </c>
      <c r="R100">
        <f t="shared" si="62"/>
        <v>615</v>
      </c>
      <c r="T100" s="6" t="s">
        <v>190</v>
      </c>
      <c r="U100" t="str">
        <f t="shared" si="32"/>
        <v>429787,45</v>
      </c>
      <c r="V100">
        <f t="shared" si="33"/>
        <v>429787.45</v>
      </c>
    </row>
    <row r="101" spans="1:22" x14ac:dyDescent="0.15">
      <c r="A101">
        <f t="shared" ref="A101:R101" si="63">_xlfn.NUMBERVALUE(A64)</f>
        <v>872.1</v>
      </c>
      <c r="B101">
        <f t="shared" si="63"/>
        <v>535.6</v>
      </c>
      <c r="C101">
        <f t="shared" si="63"/>
        <v>731.8</v>
      </c>
      <c r="D101">
        <f t="shared" si="63"/>
        <v>638.6</v>
      </c>
      <c r="E101">
        <f t="shared" si="63"/>
        <v>737.9</v>
      </c>
      <c r="F101">
        <f t="shared" si="63"/>
        <v>662.6</v>
      </c>
      <c r="G101">
        <f t="shared" si="63"/>
        <v>596.4</v>
      </c>
      <c r="H101">
        <f t="shared" si="63"/>
        <v>595.29999999999995</v>
      </c>
      <c r="I101">
        <f t="shared" si="63"/>
        <v>697.2</v>
      </c>
      <c r="J101">
        <f t="shared" si="63"/>
        <v>846</v>
      </c>
      <c r="K101">
        <f t="shared" si="63"/>
        <v>876.1</v>
      </c>
      <c r="L101">
        <f t="shared" si="63"/>
        <v>1048.5999999999999</v>
      </c>
      <c r="M101">
        <f t="shared" si="63"/>
        <v>730.4</v>
      </c>
      <c r="N101">
        <f t="shared" si="63"/>
        <v>698.8</v>
      </c>
      <c r="O101">
        <f t="shared" si="63"/>
        <v>1001.3</v>
      </c>
      <c r="P101">
        <f t="shared" si="63"/>
        <v>928.2</v>
      </c>
      <c r="Q101">
        <f t="shared" si="63"/>
        <v>653.4</v>
      </c>
      <c r="R101">
        <f t="shared" si="63"/>
        <v>952.9</v>
      </c>
      <c r="T101" s="6" t="s">
        <v>208</v>
      </c>
      <c r="U101" t="str">
        <f t="shared" si="32"/>
        <v>858601,26</v>
      </c>
      <c r="V101">
        <f t="shared" si="33"/>
        <v>858601.26</v>
      </c>
    </row>
    <row r="102" spans="1:22" x14ac:dyDescent="0.15">
      <c r="A102">
        <f t="shared" ref="A102:R102" si="64">_xlfn.NUMBERVALUE(A65)</f>
        <v>573.70000000000005</v>
      </c>
      <c r="B102">
        <f t="shared" si="64"/>
        <v>298.7</v>
      </c>
      <c r="C102">
        <f t="shared" si="64"/>
        <v>358.9</v>
      </c>
      <c r="D102">
        <f t="shared" si="64"/>
        <v>444.5</v>
      </c>
      <c r="E102">
        <f t="shared" si="64"/>
        <v>457.8</v>
      </c>
      <c r="F102">
        <f t="shared" si="64"/>
        <v>444.9</v>
      </c>
      <c r="G102">
        <f t="shared" si="64"/>
        <v>453</v>
      </c>
      <c r="H102">
        <f t="shared" si="64"/>
        <v>360.1</v>
      </c>
      <c r="I102">
        <f t="shared" si="64"/>
        <v>382.1</v>
      </c>
      <c r="J102">
        <f t="shared" si="64"/>
        <v>446</v>
      </c>
      <c r="K102">
        <f t="shared" si="64"/>
        <v>480.5</v>
      </c>
      <c r="L102">
        <f t="shared" si="64"/>
        <v>643.5</v>
      </c>
      <c r="M102">
        <f t="shared" si="64"/>
        <v>424.4</v>
      </c>
      <c r="N102">
        <f t="shared" si="64"/>
        <v>450.6</v>
      </c>
      <c r="O102">
        <f t="shared" si="64"/>
        <v>565.9</v>
      </c>
      <c r="P102">
        <f t="shared" si="64"/>
        <v>648.70000000000005</v>
      </c>
      <c r="Q102">
        <f t="shared" si="64"/>
        <v>343</v>
      </c>
      <c r="R102">
        <f t="shared" si="64"/>
        <v>502.7</v>
      </c>
      <c r="T102" s="6">
        <v>5317590529999990</v>
      </c>
      <c r="U102" t="str">
        <f t="shared" si="32"/>
        <v>5317590529999990</v>
      </c>
      <c r="V102">
        <f t="shared" si="33"/>
        <v>5317590529999990</v>
      </c>
    </row>
    <row r="103" spans="1:22" x14ac:dyDescent="0.15">
      <c r="A103">
        <f t="shared" ref="A103:R103" si="65">_xlfn.NUMBERVALUE(A66)</f>
        <v>1964.1</v>
      </c>
      <c r="B103">
        <f t="shared" si="65"/>
        <v>2036</v>
      </c>
      <c r="C103">
        <f t="shared" si="65"/>
        <v>2676.2</v>
      </c>
      <c r="D103">
        <f t="shared" si="65"/>
        <v>2554.1</v>
      </c>
      <c r="E103">
        <f t="shared" si="65"/>
        <v>2617.3000000000002</v>
      </c>
      <c r="F103">
        <f t="shared" si="65"/>
        <v>1730.5</v>
      </c>
      <c r="G103">
        <f t="shared" si="65"/>
        <v>2561.9</v>
      </c>
      <c r="H103">
        <f t="shared" si="65"/>
        <v>2496.5</v>
      </c>
      <c r="I103">
        <f t="shared" si="65"/>
        <v>2069.6999999999998</v>
      </c>
      <c r="J103">
        <f t="shared" si="65"/>
        <v>2811.9</v>
      </c>
      <c r="K103">
        <f t="shared" si="65"/>
        <v>2394</v>
      </c>
      <c r="L103">
        <f t="shared" si="65"/>
        <v>2426.3000000000002</v>
      </c>
      <c r="M103">
        <f t="shared" si="65"/>
        <v>1749.7</v>
      </c>
      <c r="N103">
        <f t="shared" si="65"/>
        <v>2013.9</v>
      </c>
      <c r="O103">
        <f t="shared" si="65"/>
        <v>1965.5</v>
      </c>
      <c r="P103">
        <f t="shared" si="65"/>
        <v>1916</v>
      </c>
      <c r="Q103">
        <f t="shared" si="65"/>
        <v>3017.9</v>
      </c>
      <c r="R103">
        <f t="shared" si="65"/>
        <v>1836.1</v>
      </c>
      <c r="T103" s="6" t="s">
        <v>245</v>
      </c>
      <c r="U103" t="str">
        <f t="shared" si="32"/>
        <v>3211216,55</v>
      </c>
      <c r="V103">
        <f t="shared" si="33"/>
        <v>3211216.55</v>
      </c>
    </row>
    <row r="104" spans="1:22" x14ac:dyDescent="0.15">
      <c r="A104">
        <f t="shared" ref="A104:R104" si="66">_xlfn.NUMBERVALUE(A67)</f>
        <v>772.9</v>
      </c>
      <c r="B104">
        <f t="shared" si="66"/>
        <v>738.8</v>
      </c>
      <c r="C104">
        <f t="shared" si="66"/>
        <v>670.2</v>
      </c>
      <c r="D104">
        <f t="shared" si="66"/>
        <v>1002.4</v>
      </c>
      <c r="E104">
        <f t="shared" si="66"/>
        <v>1047</v>
      </c>
      <c r="F104">
        <f t="shared" si="66"/>
        <v>627.6</v>
      </c>
      <c r="G104">
        <f t="shared" si="66"/>
        <v>1011.2</v>
      </c>
      <c r="H104">
        <f t="shared" si="66"/>
        <v>603.29999999999995</v>
      </c>
      <c r="I104">
        <f t="shared" si="66"/>
        <v>727.3</v>
      </c>
      <c r="J104">
        <f t="shared" si="66"/>
        <v>1090.5999999999999</v>
      </c>
      <c r="K104">
        <f t="shared" si="66"/>
        <v>955</v>
      </c>
      <c r="L104">
        <f t="shared" si="66"/>
        <v>891.7</v>
      </c>
      <c r="M104">
        <f t="shared" si="66"/>
        <v>746.7</v>
      </c>
      <c r="N104">
        <f t="shared" si="66"/>
        <v>666.7</v>
      </c>
      <c r="O104">
        <f t="shared" si="66"/>
        <v>678</v>
      </c>
      <c r="P104">
        <f t="shared" si="66"/>
        <v>579.1</v>
      </c>
      <c r="Q104">
        <f t="shared" si="66"/>
        <v>631.1</v>
      </c>
      <c r="R104">
        <f t="shared" si="66"/>
        <v>740.2</v>
      </c>
      <c r="T104" s="6">
        <v>1.252731219E+16</v>
      </c>
      <c r="U104" t="str">
        <f t="shared" si="32"/>
        <v>12527312190000000</v>
      </c>
      <c r="V104">
        <f t="shared" si="33"/>
        <v>1.252731219E+16</v>
      </c>
    </row>
    <row r="105" spans="1:22" x14ac:dyDescent="0.15">
      <c r="A105">
        <f t="shared" ref="A105:R105" si="67">_xlfn.NUMBERVALUE(A68)</f>
        <v>706.4</v>
      </c>
      <c r="B105">
        <f t="shared" si="67"/>
        <v>677.4</v>
      </c>
      <c r="C105">
        <f t="shared" si="67"/>
        <v>876</v>
      </c>
      <c r="D105">
        <f t="shared" si="67"/>
        <v>677.2</v>
      </c>
      <c r="E105">
        <f t="shared" si="67"/>
        <v>679.8</v>
      </c>
      <c r="F105">
        <f t="shared" si="67"/>
        <v>667.4</v>
      </c>
      <c r="G105">
        <f t="shared" si="67"/>
        <v>829.1</v>
      </c>
      <c r="H105">
        <f t="shared" si="67"/>
        <v>723.3</v>
      </c>
      <c r="I105">
        <f t="shared" si="67"/>
        <v>849.1</v>
      </c>
      <c r="J105">
        <f t="shared" si="67"/>
        <v>823.8</v>
      </c>
      <c r="K105">
        <f t="shared" si="67"/>
        <v>885</v>
      </c>
      <c r="L105">
        <f t="shared" si="67"/>
        <v>800.1</v>
      </c>
      <c r="M105">
        <f t="shared" si="67"/>
        <v>750.9</v>
      </c>
      <c r="N105">
        <f t="shared" si="67"/>
        <v>690.2</v>
      </c>
      <c r="O105">
        <f t="shared" si="67"/>
        <v>662</v>
      </c>
      <c r="P105">
        <f t="shared" si="67"/>
        <v>564.20000000000005</v>
      </c>
      <c r="Q105">
        <f t="shared" si="67"/>
        <v>538.4</v>
      </c>
      <c r="R105">
        <f t="shared" si="67"/>
        <v>710</v>
      </c>
      <c r="T105" s="6">
        <v>5981083589999990</v>
      </c>
      <c r="U105" t="str">
        <f t="shared" si="32"/>
        <v>5981083589999990</v>
      </c>
      <c r="V105">
        <f t="shared" si="33"/>
        <v>5981083589999990</v>
      </c>
    </row>
    <row r="106" spans="1:22" x14ac:dyDescent="0.15">
      <c r="A106">
        <f t="shared" ref="A106:R106" si="68">_xlfn.NUMBERVALUE(A69)</f>
        <v>1483</v>
      </c>
      <c r="B106">
        <f t="shared" si="68"/>
        <v>1830.1</v>
      </c>
      <c r="C106">
        <f t="shared" si="68"/>
        <v>1654.2</v>
      </c>
      <c r="D106">
        <f t="shared" si="68"/>
        <v>1502.6</v>
      </c>
      <c r="E106">
        <f t="shared" si="68"/>
        <v>1573.9</v>
      </c>
      <c r="F106">
        <f t="shared" si="68"/>
        <v>1470.3</v>
      </c>
      <c r="G106">
        <f t="shared" si="68"/>
        <v>1791.1</v>
      </c>
      <c r="H106">
        <f t="shared" si="68"/>
        <v>1553.5</v>
      </c>
      <c r="I106">
        <f t="shared" si="68"/>
        <v>1695.9</v>
      </c>
      <c r="J106">
        <f t="shared" si="68"/>
        <v>1852.4</v>
      </c>
      <c r="K106">
        <f t="shared" si="68"/>
        <v>1537.3</v>
      </c>
      <c r="L106">
        <f t="shared" si="68"/>
        <v>1488.9</v>
      </c>
      <c r="M106">
        <f t="shared" si="68"/>
        <v>1533.8</v>
      </c>
      <c r="N106">
        <f t="shared" si="68"/>
        <v>1730.9</v>
      </c>
      <c r="O106">
        <f t="shared" si="68"/>
        <v>1516.1</v>
      </c>
      <c r="P106">
        <f t="shared" si="68"/>
        <v>1107.5999999999999</v>
      </c>
      <c r="Q106">
        <f t="shared" si="68"/>
        <v>1548.6</v>
      </c>
      <c r="R106">
        <f t="shared" si="68"/>
        <v>1501.2</v>
      </c>
      <c r="T106" s="6">
        <v>3748025899999990</v>
      </c>
      <c r="U106" t="str">
        <f t="shared" si="32"/>
        <v>3748025899999990</v>
      </c>
      <c r="V106">
        <f t="shared" si="33"/>
        <v>3748025899999990</v>
      </c>
    </row>
    <row r="107" spans="1:22" x14ac:dyDescent="0.15">
      <c r="A107">
        <f t="shared" ref="A107:R107" si="69">_xlfn.NUMBERVALUE(A70)</f>
        <v>1038.9000000000001</v>
      </c>
      <c r="B107">
        <f t="shared" si="69"/>
        <v>1107.5</v>
      </c>
      <c r="C107">
        <f t="shared" si="69"/>
        <v>891.2</v>
      </c>
      <c r="D107">
        <f t="shared" si="69"/>
        <v>991.4</v>
      </c>
      <c r="E107">
        <f t="shared" si="69"/>
        <v>899.3</v>
      </c>
      <c r="F107">
        <f t="shared" si="69"/>
        <v>736.3</v>
      </c>
      <c r="G107">
        <f t="shared" si="69"/>
        <v>1071.5999999999999</v>
      </c>
      <c r="H107">
        <f t="shared" si="69"/>
        <v>972.8</v>
      </c>
      <c r="I107">
        <f t="shared" si="69"/>
        <v>948.2</v>
      </c>
      <c r="J107">
        <f t="shared" si="69"/>
        <v>1418</v>
      </c>
      <c r="K107">
        <f t="shared" si="69"/>
        <v>1148.0999999999999</v>
      </c>
      <c r="L107">
        <f t="shared" si="69"/>
        <v>9784</v>
      </c>
      <c r="M107">
        <f t="shared" si="69"/>
        <v>885.2</v>
      </c>
      <c r="N107">
        <f t="shared" si="69"/>
        <v>1120.5</v>
      </c>
      <c r="O107">
        <f t="shared" si="69"/>
        <v>998.7</v>
      </c>
      <c r="P107">
        <f t="shared" si="69"/>
        <v>1034.2</v>
      </c>
      <c r="Q107">
        <f t="shared" si="69"/>
        <v>1802.2</v>
      </c>
      <c r="R107">
        <f t="shared" si="69"/>
        <v>1172.5999999999999</v>
      </c>
      <c r="T107" s="6">
        <v>7091715529999990</v>
      </c>
      <c r="U107" t="str">
        <f t="shared" si="32"/>
        <v>7091715529999990</v>
      </c>
      <c r="V107">
        <f t="shared" si="33"/>
        <v>7091715529999990</v>
      </c>
    </row>
    <row r="108" spans="1:22" x14ac:dyDescent="0.15">
      <c r="A108">
        <f t="shared" ref="A108:R108" si="70">_xlfn.NUMBERVALUE(A71)</f>
        <v>688.8</v>
      </c>
      <c r="B108">
        <f t="shared" si="70"/>
        <v>414.5</v>
      </c>
      <c r="C108">
        <f t="shared" si="70"/>
        <v>455.4</v>
      </c>
      <c r="D108">
        <f t="shared" si="70"/>
        <v>440.1</v>
      </c>
      <c r="E108">
        <f t="shared" si="70"/>
        <v>580.4</v>
      </c>
      <c r="F108">
        <f t="shared" si="70"/>
        <v>487.6</v>
      </c>
      <c r="G108">
        <f t="shared" si="70"/>
        <v>509</v>
      </c>
      <c r="H108">
        <f t="shared" si="70"/>
        <v>314.5</v>
      </c>
      <c r="I108">
        <f t="shared" si="70"/>
        <v>430.8</v>
      </c>
      <c r="J108">
        <f t="shared" si="70"/>
        <v>631</v>
      </c>
      <c r="K108">
        <f t="shared" si="70"/>
        <v>5344</v>
      </c>
      <c r="L108">
        <f t="shared" si="70"/>
        <v>741.6</v>
      </c>
      <c r="M108">
        <f t="shared" si="70"/>
        <v>510.2</v>
      </c>
      <c r="N108">
        <f t="shared" si="70"/>
        <v>467.2</v>
      </c>
      <c r="O108">
        <f t="shared" si="70"/>
        <v>614.5</v>
      </c>
      <c r="P108">
        <f t="shared" si="70"/>
        <v>415.3</v>
      </c>
      <c r="Q108">
        <f t="shared" si="70"/>
        <v>406.3</v>
      </c>
      <c r="R108">
        <f t="shared" si="70"/>
        <v>532.9</v>
      </c>
      <c r="T108" s="6" t="s">
        <v>336</v>
      </c>
      <c r="U108" t="str">
        <f t="shared" si="32"/>
        <v>8226710,19</v>
      </c>
      <c r="V108">
        <f t="shared" si="33"/>
        <v>8226710.1900000004</v>
      </c>
    </row>
    <row r="109" spans="1:22" x14ac:dyDescent="0.15">
      <c r="A109">
        <f>AVERAGE(A77:A108)</f>
        <v>940.09687500000018</v>
      </c>
      <c r="B109">
        <f>AVERAGE(B77:B108)</f>
        <v>869.33125000000007</v>
      </c>
      <c r="C109">
        <f t="shared" ref="C109:E109" si="71">AVERAGE(C77:C108)</f>
        <v>915.6500000000002</v>
      </c>
      <c r="D109">
        <f t="shared" si="71"/>
        <v>927.18124999999998</v>
      </c>
      <c r="E109">
        <f t="shared" si="71"/>
        <v>994.72500000000014</v>
      </c>
      <c r="F109">
        <f t="shared" ref="F109" si="72">AVERAGE(F77:F108)</f>
        <v>812.61562500000002</v>
      </c>
      <c r="G109">
        <f t="shared" ref="G109:H109" si="73">AVERAGE(G77:G108)</f>
        <v>1077.0718749999999</v>
      </c>
      <c r="H109">
        <f t="shared" si="73"/>
        <v>833.79999999999984</v>
      </c>
      <c r="I109">
        <f t="shared" ref="I109" si="74">AVERAGE(I77:I108)</f>
        <v>838.97187499999984</v>
      </c>
      <c r="J109">
        <f t="shared" ref="J109" si="75">AVERAGE(J77:J108)</f>
        <v>1084.4000000000001</v>
      </c>
      <c r="K109">
        <f t="shared" ref="K109" si="76">AVERAGE(K77:K108)</f>
        <v>1397.1499999999999</v>
      </c>
      <c r="L109">
        <f t="shared" ref="L109" si="77">AVERAGE(L77:L108)</f>
        <v>1466.5343749999995</v>
      </c>
      <c r="M109">
        <f t="shared" ref="M109" si="78">AVERAGE(M77:M108)</f>
        <v>874.00937500000009</v>
      </c>
      <c r="N109">
        <f t="shared" ref="N109" si="79">AVERAGE(N77:N108)</f>
        <v>932.74687500000005</v>
      </c>
      <c r="O109">
        <f t="shared" ref="O109" si="80">AVERAGE(O77:O108)</f>
        <v>959.3</v>
      </c>
      <c r="P109">
        <f t="shared" ref="P109" si="81">AVERAGE(P77:P108)</f>
        <v>840.58749999999986</v>
      </c>
      <c r="Q109">
        <f>AVERAGE(Q77:Q108)</f>
        <v>905.45312500000011</v>
      </c>
      <c r="R109">
        <f>AVERAGE(R77:R108)</f>
        <v>950.36250000000007</v>
      </c>
      <c r="T109" s="6">
        <v>4505812440000000</v>
      </c>
      <c r="U109" t="str">
        <f t="shared" si="32"/>
        <v>4505812440000000</v>
      </c>
      <c r="V109">
        <f t="shared" si="33"/>
        <v>4505812440000000</v>
      </c>
    </row>
    <row r="110" spans="1:22" x14ac:dyDescent="0.15">
      <c r="T110" s="6">
        <v>7003302550000000</v>
      </c>
      <c r="U110" t="str">
        <f t="shared" si="32"/>
        <v>7003302550000000</v>
      </c>
      <c r="V110">
        <f t="shared" si="33"/>
        <v>7003302550000000</v>
      </c>
    </row>
    <row r="111" spans="1:22" x14ac:dyDescent="0.15">
      <c r="T111" s="6">
        <v>2289753426000000</v>
      </c>
      <c r="U111" t="str">
        <f t="shared" si="32"/>
        <v>2289753426000000</v>
      </c>
      <c r="V111">
        <f t="shared" si="33"/>
        <v>2289753426000000</v>
      </c>
    </row>
    <row r="112" spans="1:22" x14ac:dyDescent="0.15">
      <c r="T112" s="6">
        <v>8630832220000000</v>
      </c>
      <c r="U112" t="str">
        <f t="shared" si="32"/>
        <v>8630832220000000</v>
      </c>
      <c r="V112">
        <f t="shared" si="33"/>
        <v>8630832220000000</v>
      </c>
    </row>
    <row r="113" spans="20:22" x14ac:dyDescent="0.15">
      <c r="T113" s="6">
        <v>8879598310000010</v>
      </c>
      <c r="U113" t="str">
        <f t="shared" si="32"/>
        <v>8879598310000010</v>
      </c>
      <c r="V113">
        <f t="shared" si="33"/>
        <v>8879598310000010</v>
      </c>
    </row>
    <row r="114" spans="20:22" x14ac:dyDescent="0.15">
      <c r="T114" s="6" t="s">
        <v>444</v>
      </c>
      <c r="U114" t="str">
        <f t="shared" si="32"/>
        <v>3179028,71</v>
      </c>
      <c r="V114">
        <f t="shared" si="33"/>
        <v>3179028.71</v>
      </c>
    </row>
    <row r="115" spans="20:22" x14ac:dyDescent="0.15">
      <c r="T115" s="6" t="s">
        <v>462</v>
      </c>
      <c r="U115" t="str">
        <f t="shared" si="32"/>
        <v>5012711,1</v>
      </c>
      <c r="V115">
        <f t="shared" si="33"/>
        <v>5012711.0999999996</v>
      </c>
    </row>
    <row r="116" spans="20:22" x14ac:dyDescent="0.15">
      <c r="T116" s="6">
        <v>2826870449999990</v>
      </c>
      <c r="U116" t="str">
        <f t="shared" si="32"/>
        <v>2826870449999990</v>
      </c>
      <c r="V116">
        <f t="shared" si="33"/>
        <v>2826870449999990</v>
      </c>
    </row>
    <row r="117" spans="20:22" x14ac:dyDescent="0.15">
      <c r="T117" s="6" t="s">
        <v>499</v>
      </c>
      <c r="U117" t="str">
        <f t="shared" si="32"/>
        <v>13662122,3</v>
      </c>
      <c r="V117">
        <f t="shared" si="33"/>
        <v>13662122.300000001</v>
      </c>
    </row>
    <row r="118" spans="20:22" x14ac:dyDescent="0.15">
      <c r="T118" s="6">
        <v>5.5138442299999904E+16</v>
      </c>
      <c r="U118" t="str">
        <f t="shared" si="32"/>
        <v>55138442299999900</v>
      </c>
      <c r="V118">
        <f t="shared" si="33"/>
        <v>5.5138442299999904E+16</v>
      </c>
    </row>
    <row r="119" spans="20:22" x14ac:dyDescent="0.15">
      <c r="T119" s="6" t="s">
        <v>535</v>
      </c>
      <c r="U119" t="str">
        <f t="shared" si="32"/>
        <v>1248778,48</v>
      </c>
      <c r="V119">
        <f t="shared" si="33"/>
        <v>1248778.48</v>
      </c>
    </row>
    <row r="120" spans="20:22" x14ac:dyDescent="0.15">
      <c r="T120" s="6">
        <v>1.85614458E+16</v>
      </c>
      <c r="U120" t="str">
        <f t="shared" si="32"/>
        <v>18561445800000000</v>
      </c>
      <c r="V120">
        <f t="shared" si="33"/>
        <v>1.85614458E+16</v>
      </c>
    </row>
    <row r="121" spans="20:22" x14ac:dyDescent="0.15">
      <c r="T121" s="6">
        <v>6221943919999990</v>
      </c>
      <c r="U121" t="str">
        <f t="shared" si="32"/>
        <v>6221943919999990</v>
      </c>
      <c r="V121">
        <f t="shared" si="33"/>
        <v>6221943919999990</v>
      </c>
    </row>
    <row r="122" spans="20:22" x14ac:dyDescent="0.15">
      <c r="T122" s="6">
        <v>1.09897756299999E+16</v>
      </c>
      <c r="U122" t="str">
        <f t="shared" si="32"/>
        <v>10989775629999900</v>
      </c>
      <c r="V122">
        <f t="shared" si="33"/>
        <v>1.09897756299999E+16</v>
      </c>
    </row>
    <row r="123" spans="20:22" x14ac:dyDescent="0.15">
      <c r="T123" s="6">
        <v>4684924210000000</v>
      </c>
      <c r="U123" t="str">
        <f t="shared" si="32"/>
        <v>4684924210000000</v>
      </c>
      <c r="V123">
        <f t="shared" si="33"/>
        <v>4684924210000000</v>
      </c>
    </row>
    <row r="124" spans="20:22" x14ac:dyDescent="0.15">
      <c r="T124" s="6">
        <v>2.90312519E+16</v>
      </c>
      <c r="U124" t="str">
        <f t="shared" si="32"/>
        <v>29031251900000000</v>
      </c>
      <c r="V124">
        <f t="shared" si="33"/>
        <v>2.90312519E+16</v>
      </c>
    </row>
    <row r="125" spans="20:22" x14ac:dyDescent="0.15">
      <c r="T125" s="6" t="s">
        <v>640</v>
      </c>
      <c r="U125" t="str">
        <f t="shared" si="32"/>
        <v>8055894,07</v>
      </c>
      <c r="V125">
        <f t="shared" si="33"/>
        <v>8055894.0700000003</v>
      </c>
    </row>
    <row r="126" spans="20:22" x14ac:dyDescent="0.15">
      <c r="T126" s="6">
        <v>1.33834132999999E+16</v>
      </c>
      <c r="U126" t="str">
        <f t="shared" si="32"/>
        <v>13383413299999900</v>
      </c>
      <c r="V126">
        <f t="shared" si="33"/>
        <v>1.33834132999999E+16</v>
      </c>
    </row>
    <row r="127" spans="20:22" x14ac:dyDescent="0.15">
      <c r="T127" s="6">
        <v>2.54054144899999E+16</v>
      </c>
      <c r="U127" t="str">
        <f t="shared" si="32"/>
        <v>25405414489999900</v>
      </c>
      <c r="V127">
        <f t="shared" si="33"/>
        <v>2.54054144899999E+16</v>
      </c>
    </row>
    <row r="128" spans="20:22" x14ac:dyDescent="0.15">
      <c r="T128" s="6" t="s">
        <v>694</v>
      </c>
      <c r="U128" t="str">
        <f t="shared" si="32"/>
        <v>5096405,15</v>
      </c>
      <c r="V128">
        <f t="shared" si="33"/>
        <v>5096405.1500000004</v>
      </c>
    </row>
    <row r="129" spans="20:22" x14ac:dyDescent="0.15">
      <c r="T129" s="6">
        <v>3.98180832E+16</v>
      </c>
      <c r="U129" t="str">
        <f t="shared" si="32"/>
        <v>39818083200000000</v>
      </c>
      <c r="V129">
        <f t="shared" si="33"/>
        <v>3.98180832E+16</v>
      </c>
    </row>
    <row r="130" spans="20:22" x14ac:dyDescent="0.15">
      <c r="T130" s="6" t="s">
        <v>153</v>
      </c>
      <c r="U130" t="str">
        <f t="shared" si="32"/>
        <v>2518485,3</v>
      </c>
      <c r="V130">
        <f t="shared" si="33"/>
        <v>2518485.2999999998</v>
      </c>
    </row>
    <row r="131" spans="20:22" x14ac:dyDescent="0.15">
      <c r="T131" s="6">
        <v>3.9937289699999904E+16</v>
      </c>
      <c r="U131" t="str">
        <f t="shared" ref="U131:U194" si="82">SUBSTITUTE(T131,".",",")</f>
        <v>39937289699999900</v>
      </c>
      <c r="V131">
        <f t="shared" ref="V131:V194" si="83">_xlfn.NUMBERVALUE(U131)</f>
        <v>3.9937289699999904E+16</v>
      </c>
    </row>
    <row r="132" spans="20:22" x14ac:dyDescent="0.15">
      <c r="T132" s="6" t="s">
        <v>190</v>
      </c>
      <c r="U132" t="str">
        <f t="shared" si="82"/>
        <v>429787,45</v>
      </c>
      <c r="V132">
        <f t="shared" si="83"/>
        <v>429787.45</v>
      </c>
    </row>
    <row r="133" spans="20:22" x14ac:dyDescent="0.15">
      <c r="T133" s="6" t="s">
        <v>208</v>
      </c>
      <c r="U133" t="str">
        <f t="shared" si="82"/>
        <v>858601,26</v>
      </c>
      <c r="V133">
        <f t="shared" si="83"/>
        <v>858601.26</v>
      </c>
    </row>
    <row r="134" spans="20:22" x14ac:dyDescent="0.15">
      <c r="T134" s="6">
        <v>5317590529999990</v>
      </c>
      <c r="U134" t="str">
        <f t="shared" si="82"/>
        <v>5317590529999990</v>
      </c>
      <c r="V134">
        <f t="shared" si="83"/>
        <v>5317590529999990</v>
      </c>
    </row>
    <row r="135" spans="20:22" x14ac:dyDescent="0.15">
      <c r="T135" s="6" t="s">
        <v>245</v>
      </c>
      <c r="U135" t="str">
        <f t="shared" si="82"/>
        <v>3211216,55</v>
      </c>
      <c r="V135">
        <f t="shared" si="83"/>
        <v>3211216.55</v>
      </c>
    </row>
    <row r="136" spans="20:22" x14ac:dyDescent="0.15">
      <c r="T136" s="6">
        <v>1.252731219E+16</v>
      </c>
      <c r="U136" t="str">
        <f t="shared" si="82"/>
        <v>12527312190000000</v>
      </c>
      <c r="V136">
        <f t="shared" si="83"/>
        <v>1.252731219E+16</v>
      </c>
    </row>
    <row r="137" spans="20:22" x14ac:dyDescent="0.15">
      <c r="T137" s="6">
        <v>5981083589999990</v>
      </c>
      <c r="U137" t="str">
        <f t="shared" si="82"/>
        <v>5981083589999990</v>
      </c>
      <c r="V137">
        <f t="shared" si="83"/>
        <v>5981083589999990</v>
      </c>
    </row>
    <row r="138" spans="20:22" x14ac:dyDescent="0.15">
      <c r="T138" s="6">
        <v>3748025899999990</v>
      </c>
      <c r="U138" t="str">
        <f t="shared" si="82"/>
        <v>3748025899999990</v>
      </c>
      <c r="V138">
        <f t="shared" si="83"/>
        <v>3748025899999990</v>
      </c>
    </row>
    <row r="139" spans="20:22" x14ac:dyDescent="0.15">
      <c r="T139" s="6">
        <v>7091715529999990</v>
      </c>
      <c r="U139" t="str">
        <f t="shared" si="82"/>
        <v>7091715529999990</v>
      </c>
      <c r="V139">
        <f t="shared" si="83"/>
        <v>7091715529999990</v>
      </c>
    </row>
    <row r="140" spans="20:22" x14ac:dyDescent="0.15">
      <c r="T140" s="6" t="s">
        <v>336</v>
      </c>
      <c r="U140" t="str">
        <f t="shared" si="82"/>
        <v>8226710,19</v>
      </c>
      <c r="V140">
        <f t="shared" si="83"/>
        <v>8226710.1900000004</v>
      </c>
    </row>
    <row r="141" spans="20:22" x14ac:dyDescent="0.15">
      <c r="T141" s="6">
        <v>4505812440000000</v>
      </c>
      <c r="U141" t="str">
        <f t="shared" si="82"/>
        <v>4505812440000000</v>
      </c>
      <c r="V141">
        <f t="shared" si="83"/>
        <v>4505812440000000</v>
      </c>
    </row>
    <row r="142" spans="20:22" x14ac:dyDescent="0.15">
      <c r="T142" s="6">
        <v>7003302550000000</v>
      </c>
      <c r="U142" t="str">
        <f t="shared" si="82"/>
        <v>7003302550000000</v>
      </c>
      <c r="V142">
        <f t="shared" si="83"/>
        <v>7003302550000000</v>
      </c>
    </row>
    <row r="143" spans="20:22" x14ac:dyDescent="0.15">
      <c r="T143" s="6">
        <v>2289753426000000</v>
      </c>
      <c r="U143" t="str">
        <f t="shared" si="82"/>
        <v>2289753426000000</v>
      </c>
      <c r="V143">
        <f t="shared" si="83"/>
        <v>2289753426000000</v>
      </c>
    </row>
    <row r="144" spans="20:22" x14ac:dyDescent="0.15">
      <c r="T144" s="6">
        <v>8630832220000000</v>
      </c>
      <c r="U144" t="str">
        <f t="shared" si="82"/>
        <v>8630832220000000</v>
      </c>
      <c r="V144">
        <f t="shared" si="83"/>
        <v>8630832220000000</v>
      </c>
    </row>
    <row r="145" spans="20:22" x14ac:dyDescent="0.15">
      <c r="T145" s="6">
        <v>8879598310000010</v>
      </c>
      <c r="U145" t="str">
        <f t="shared" si="82"/>
        <v>8879598310000010</v>
      </c>
      <c r="V145">
        <f t="shared" si="83"/>
        <v>8879598310000010</v>
      </c>
    </row>
    <row r="146" spans="20:22" x14ac:dyDescent="0.15">
      <c r="T146" s="6" t="s">
        <v>444</v>
      </c>
      <c r="U146" t="str">
        <f t="shared" si="82"/>
        <v>3179028,71</v>
      </c>
      <c r="V146">
        <f t="shared" si="83"/>
        <v>3179028.71</v>
      </c>
    </row>
    <row r="147" spans="20:22" x14ac:dyDescent="0.15">
      <c r="T147" s="6" t="s">
        <v>462</v>
      </c>
      <c r="U147" t="str">
        <f t="shared" si="82"/>
        <v>5012711,1</v>
      </c>
      <c r="V147">
        <f t="shared" si="83"/>
        <v>5012711.0999999996</v>
      </c>
    </row>
    <row r="148" spans="20:22" x14ac:dyDescent="0.15">
      <c r="T148" s="6">
        <v>2826870449999990</v>
      </c>
      <c r="U148" t="str">
        <f t="shared" si="82"/>
        <v>2826870449999990</v>
      </c>
      <c r="V148">
        <f t="shared" si="83"/>
        <v>2826870449999990</v>
      </c>
    </row>
    <row r="149" spans="20:22" x14ac:dyDescent="0.15">
      <c r="T149" s="6" t="s">
        <v>499</v>
      </c>
      <c r="U149" t="str">
        <f t="shared" si="82"/>
        <v>13662122,3</v>
      </c>
      <c r="V149">
        <f t="shared" si="83"/>
        <v>13662122.300000001</v>
      </c>
    </row>
    <row r="150" spans="20:22" x14ac:dyDescent="0.15">
      <c r="T150" s="6">
        <v>5.5138442299999904E+16</v>
      </c>
      <c r="U150" t="str">
        <f t="shared" si="82"/>
        <v>55138442299999900</v>
      </c>
      <c r="V150">
        <f t="shared" si="83"/>
        <v>5.5138442299999904E+16</v>
      </c>
    </row>
    <row r="151" spans="20:22" x14ac:dyDescent="0.15">
      <c r="T151" s="6" t="s">
        <v>535</v>
      </c>
      <c r="U151" t="str">
        <f t="shared" si="82"/>
        <v>1248778,48</v>
      </c>
      <c r="V151">
        <f t="shared" si="83"/>
        <v>1248778.48</v>
      </c>
    </row>
    <row r="152" spans="20:22" x14ac:dyDescent="0.15">
      <c r="T152" s="6">
        <v>1.85614458E+16</v>
      </c>
      <c r="U152" t="str">
        <f t="shared" si="82"/>
        <v>18561445800000000</v>
      </c>
      <c r="V152">
        <f t="shared" si="83"/>
        <v>1.85614458E+16</v>
      </c>
    </row>
    <row r="153" spans="20:22" x14ac:dyDescent="0.15">
      <c r="T153" s="6">
        <v>6221943919999990</v>
      </c>
      <c r="U153" t="str">
        <f t="shared" si="82"/>
        <v>6221943919999990</v>
      </c>
      <c r="V153">
        <f t="shared" si="83"/>
        <v>6221943919999990</v>
      </c>
    </row>
    <row r="154" spans="20:22" x14ac:dyDescent="0.15">
      <c r="T154" s="6">
        <v>1.09897756299999E+16</v>
      </c>
      <c r="U154" t="str">
        <f t="shared" si="82"/>
        <v>10989775629999900</v>
      </c>
      <c r="V154">
        <f t="shared" si="83"/>
        <v>1.09897756299999E+16</v>
      </c>
    </row>
    <row r="155" spans="20:22" x14ac:dyDescent="0.15">
      <c r="T155" s="6">
        <v>4684924210000000</v>
      </c>
      <c r="U155" t="str">
        <f t="shared" si="82"/>
        <v>4684924210000000</v>
      </c>
      <c r="V155">
        <f t="shared" si="83"/>
        <v>4684924210000000</v>
      </c>
    </row>
    <row r="156" spans="20:22" x14ac:dyDescent="0.15">
      <c r="T156" s="6">
        <v>2.90312519E+16</v>
      </c>
      <c r="U156" t="str">
        <f t="shared" si="82"/>
        <v>29031251900000000</v>
      </c>
      <c r="V156">
        <f t="shared" si="83"/>
        <v>2.90312519E+16</v>
      </c>
    </row>
    <row r="157" spans="20:22" x14ac:dyDescent="0.15">
      <c r="T157" s="6" t="s">
        <v>640</v>
      </c>
      <c r="U157" t="str">
        <f t="shared" si="82"/>
        <v>8055894,07</v>
      </c>
      <c r="V157">
        <f t="shared" si="83"/>
        <v>8055894.0700000003</v>
      </c>
    </row>
    <row r="158" spans="20:22" x14ac:dyDescent="0.15">
      <c r="T158" s="6">
        <v>1.33834132999999E+16</v>
      </c>
      <c r="U158" t="str">
        <f t="shared" si="82"/>
        <v>13383413299999900</v>
      </c>
      <c r="V158">
        <f t="shared" si="83"/>
        <v>1.33834132999999E+16</v>
      </c>
    </row>
    <row r="159" spans="20:22" x14ac:dyDescent="0.15">
      <c r="T159" s="6">
        <v>2.54054144899999E+16</v>
      </c>
      <c r="U159" t="str">
        <f t="shared" si="82"/>
        <v>25405414489999900</v>
      </c>
      <c r="V159">
        <f t="shared" si="83"/>
        <v>2.54054144899999E+16</v>
      </c>
    </row>
    <row r="160" spans="20:22" x14ac:dyDescent="0.15">
      <c r="T160" s="6" t="s">
        <v>694</v>
      </c>
      <c r="U160" t="str">
        <f t="shared" si="82"/>
        <v>5096405,15</v>
      </c>
      <c r="V160">
        <f t="shared" si="83"/>
        <v>5096405.1500000004</v>
      </c>
    </row>
    <row r="161" spans="20:22" x14ac:dyDescent="0.15">
      <c r="T161" s="6">
        <v>3.98180832E+16</v>
      </c>
      <c r="U161" t="str">
        <f t="shared" si="82"/>
        <v>39818083200000000</v>
      </c>
      <c r="V161">
        <f t="shared" si="83"/>
        <v>3.98180832E+16</v>
      </c>
    </row>
    <row r="162" spans="20:22" x14ac:dyDescent="0.15">
      <c r="T162" s="6" t="s">
        <v>153</v>
      </c>
      <c r="U162" t="str">
        <f t="shared" si="82"/>
        <v>2518485,3</v>
      </c>
      <c r="V162">
        <f t="shared" si="83"/>
        <v>2518485.2999999998</v>
      </c>
    </row>
    <row r="163" spans="20:22" x14ac:dyDescent="0.15">
      <c r="T163" s="6">
        <v>3.9937289699999904E+16</v>
      </c>
      <c r="U163" t="str">
        <f t="shared" si="82"/>
        <v>39937289699999900</v>
      </c>
      <c r="V163">
        <f t="shared" si="83"/>
        <v>3.9937289699999904E+16</v>
      </c>
    </row>
    <row r="164" spans="20:22" x14ac:dyDescent="0.15">
      <c r="T164" s="6" t="s">
        <v>190</v>
      </c>
      <c r="U164" t="str">
        <f t="shared" si="82"/>
        <v>429787,45</v>
      </c>
      <c r="V164">
        <f t="shared" si="83"/>
        <v>429787.45</v>
      </c>
    </row>
    <row r="165" spans="20:22" x14ac:dyDescent="0.15">
      <c r="T165" s="6" t="s">
        <v>208</v>
      </c>
      <c r="U165" t="str">
        <f t="shared" si="82"/>
        <v>858601,26</v>
      </c>
      <c r="V165">
        <f t="shared" si="83"/>
        <v>858601.26</v>
      </c>
    </row>
    <row r="166" spans="20:22" x14ac:dyDescent="0.15">
      <c r="T166" s="6">
        <v>5317590529999990</v>
      </c>
      <c r="U166" t="str">
        <f t="shared" si="82"/>
        <v>5317590529999990</v>
      </c>
      <c r="V166">
        <f t="shared" si="83"/>
        <v>5317590529999990</v>
      </c>
    </row>
    <row r="167" spans="20:22" x14ac:dyDescent="0.15">
      <c r="T167" s="6" t="s">
        <v>245</v>
      </c>
      <c r="U167" t="str">
        <f t="shared" si="82"/>
        <v>3211216,55</v>
      </c>
      <c r="V167">
        <f t="shared" si="83"/>
        <v>3211216.55</v>
      </c>
    </row>
    <row r="168" spans="20:22" x14ac:dyDescent="0.15">
      <c r="T168" s="6">
        <v>1.252731219E+16</v>
      </c>
      <c r="U168" t="str">
        <f t="shared" si="82"/>
        <v>12527312190000000</v>
      </c>
      <c r="V168">
        <f t="shared" si="83"/>
        <v>1.252731219E+16</v>
      </c>
    </row>
    <row r="169" spans="20:22" x14ac:dyDescent="0.15">
      <c r="T169" s="6">
        <v>5981083589999990</v>
      </c>
      <c r="U169" t="str">
        <f t="shared" si="82"/>
        <v>5981083589999990</v>
      </c>
      <c r="V169">
        <f t="shared" si="83"/>
        <v>5981083589999990</v>
      </c>
    </row>
    <row r="170" spans="20:22" x14ac:dyDescent="0.15">
      <c r="T170" s="6">
        <v>3748025899999990</v>
      </c>
      <c r="U170" t="str">
        <f t="shared" si="82"/>
        <v>3748025899999990</v>
      </c>
      <c r="V170">
        <f t="shared" si="83"/>
        <v>3748025899999990</v>
      </c>
    </row>
    <row r="171" spans="20:22" x14ac:dyDescent="0.15">
      <c r="T171" s="6">
        <v>7091715529999990</v>
      </c>
      <c r="U171" t="str">
        <f t="shared" si="82"/>
        <v>7091715529999990</v>
      </c>
      <c r="V171">
        <f t="shared" si="83"/>
        <v>7091715529999990</v>
      </c>
    </row>
    <row r="172" spans="20:22" x14ac:dyDescent="0.15">
      <c r="T172" s="6" t="s">
        <v>336</v>
      </c>
      <c r="U172" t="str">
        <f t="shared" si="82"/>
        <v>8226710,19</v>
      </c>
      <c r="V172">
        <f t="shared" si="83"/>
        <v>8226710.1900000004</v>
      </c>
    </row>
    <row r="173" spans="20:22" x14ac:dyDescent="0.15">
      <c r="T173" s="6">
        <v>4505812440000000</v>
      </c>
      <c r="U173" t="str">
        <f t="shared" si="82"/>
        <v>4505812440000000</v>
      </c>
      <c r="V173">
        <f t="shared" si="83"/>
        <v>4505812440000000</v>
      </c>
    </row>
    <row r="174" spans="20:22" x14ac:dyDescent="0.15">
      <c r="T174" s="6">
        <v>7003302550000000</v>
      </c>
      <c r="U174" t="str">
        <f t="shared" si="82"/>
        <v>7003302550000000</v>
      </c>
      <c r="V174">
        <f t="shared" si="83"/>
        <v>7003302550000000</v>
      </c>
    </row>
    <row r="175" spans="20:22" x14ac:dyDescent="0.15">
      <c r="T175" s="6">
        <v>2289753426000000</v>
      </c>
      <c r="U175" t="str">
        <f t="shared" si="82"/>
        <v>2289753426000000</v>
      </c>
      <c r="V175">
        <f t="shared" si="83"/>
        <v>2289753426000000</v>
      </c>
    </row>
    <row r="176" spans="20:22" x14ac:dyDescent="0.15">
      <c r="T176" s="6">
        <v>8630832220000000</v>
      </c>
      <c r="U176" t="str">
        <f t="shared" si="82"/>
        <v>8630832220000000</v>
      </c>
      <c r="V176">
        <f t="shared" si="83"/>
        <v>8630832220000000</v>
      </c>
    </row>
    <row r="177" spans="20:22" x14ac:dyDescent="0.15">
      <c r="T177" s="6">
        <v>8879598310000010</v>
      </c>
      <c r="U177" t="str">
        <f t="shared" si="82"/>
        <v>8879598310000010</v>
      </c>
      <c r="V177">
        <f t="shared" si="83"/>
        <v>8879598310000010</v>
      </c>
    </row>
    <row r="178" spans="20:22" x14ac:dyDescent="0.15">
      <c r="T178" s="6" t="s">
        <v>444</v>
      </c>
      <c r="U178" t="str">
        <f t="shared" si="82"/>
        <v>3179028,71</v>
      </c>
      <c r="V178">
        <f t="shared" si="83"/>
        <v>3179028.71</v>
      </c>
    </row>
    <row r="179" spans="20:22" x14ac:dyDescent="0.15">
      <c r="T179" s="6" t="s">
        <v>462</v>
      </c>
      <c r="U179" t="str">
        <f t="shared" si="82"/>
        <v>5012711,1</v>
      </c>
      <c r="V179">
        <f t="shared" si="83"/>
        <v>5012711.0999999996</v>
      </c>
    </row>
    <row r="180" spans="20:22" x14ac:dyDescent="0.15">
      <c r="T180" s="6">
        <v>2826870449999990</v>
      </c>
      <c r="U180" t="str">
        <f t="shared" si="82"/>
        <v>2826870449999990</v>
      </c>
      <c r="V180">
        <f t="shared" si="83"/>
        <v>2826870449999990</v>
      </c>
    </row>
    <row r="181" spans="20:22" x14ac:dyDescent="0.15">
      <c r="T181" s="6" t="s">
        <v>499</v>
      </c>
      <c r="U181" t="str">
        <f t="shared" si="82"/>
        <v>13662122,3</v>
      </c>
      <c r="V181">
        <f t="shared" si="83"/>
        <v>13662122.300000001</v>
      </c>
    </row>
    <row r="182" spans="20:22" x14ac:dyDescent="0.15">
      <c r="T182" s="6">
        <v>5.5138442299999904E+16</v>
      </c>
      <c r="U182" t="str">
        <f t="shared" si="82"/>
        <v>55138442299999900</v>
      </c>
      <c r="V182">
        <f t="shared" si="83"/>
        <v>5.5138442299999904E+16</v>
      </c>
    </row>
    <row r="183" spans="20:22" x14ac:dyDescent="0.15">
      <c r="T183" s="6" t="s">
        <v>535</v>
      </c>
      <c r="U183" t="str">
        <f t="shared" si="82"/>
        <v>1248778,48</v>
      </c>
      <c r="V183">
        <f t="shared" si="83"/>
        <v>1248778.48</v>
      </c>
    </row>
    <row r="184" spans="20:22" x14ac:dyDescent="0.15">
      <c r="T184" s="6">
        <v>1.85614458E+16</v>
      </c>
      <c r="U184" t="str">
        <f t="shared" si="82"/>
        <v>18561445800000000</v>
      </c>
      <c r="V184">
        <f t="shared" si="83"/>
        <v>1.85614458E+16</v>
      </c>
    </row>
    <row r="185" spans="20:22" x14ac:dyDescent="0.15">
      <c r="T185" s="6">
        <v>6221943919999990</v>
      </c>
      <c r="U185" t="str">
        <f t="shared" si="82"/>
        <v>6221943919999990</v>
      </c>
      <c r="V185">
        <f t="shared" si="83"/>
        <v>6221943919999990</v>
      </c>
    </row>
    <row r="186" spans="20:22" x14ac:dyDescent="0.15">
      <c r="T186" s="6">
        <v>1.09897756299999E+16</v>
      </c>
      <c r="U186" t="str">
        <f t="shared" si="82"/>
        <v>10989775629999900</v>
      </c>
      <c r="V186">
        <f t="shared" si="83"/>
        <v>1.09897756299999E+16</v>
      </c>
    </row>
    <row r="187" spans="20:22" x14ac:dyDescent="0.15">
      <c r="T187" s="6">
        <v>4684924210000000</v>
      </c>
      <c r="U187" t="str">
        <f t="shared" si="82"/>
        <v>4684924210000000</v>
      </c>
      <c r="V187">
        <f t="shared" si="83"/>
        <v>4684924210000000</v>
      </c>
    </row>
    <row r="188" spans="20:22" x14ac:dyDescent="0.15">
      <c r="T188" s="6">
        <v>2.90312519E+16</v>
      </c>
      <c r="U188" t="str">
        <f t="shared" si="82"/>
        <v>29031251900000000</v>
      </c>
      <c r="V188">
        <f t="shared" si="83"/>
        <v>2.90312519E+16</v>
      </c>
    </row>
    <row r="189" spans="20:22" x14ac:dyDescent="0.15">
      <c r="T189" s="6" t="s">
        <v>640</v>
      </c>
      <c r="U189" t="str">
        <f t="shared" si="82"/>
        <v>8055894,07</v>
      </c>
      <c r="V189">
        <f t="shared" si="83"/>
        <v>8055894.0700000003</v>
      </c>
    </row>
    <row r="190" spans="20:22" x14ac:dyDescent="0.15">
      <c r="T190" s="6">
        <v>1.33834132999999E+16</v>
      </c>
      <c r="U190" t="str">
        <f t="shared" si="82"/>
        <v>13383413299999900</v>
      </c>
      <c r="V190">
        <f t="shared" si="83"/>
        <v>1.33834132999999E+16</v>
      </c>
    </row>
    <row r="191" spans="20:22" x14ac:dyDescent="0.15">
      <c r="T191" s="6">
        <v>2.54054144899999E+16</v>
      </c>
      <c r="U191" t="str">
        <f t="shared" si="82"/>
        <v>25405414489999900</v>
      </c>
      <c r="V191">
        <f t="shared" si="83"/>
        <v>2.54054144899999E+16</v>
      </c>
    </row>
    <row r="192" spans="20:22" x14ac:dyDescent="0.15">
      <c r="T192" s="6" t="s">
        <v>694</v>
      </c>
      <c r="U192" t="str">
        <f t="shared" si="82"/>
        <v>5096405,15</v>
      </c>
      <c r="V192">
        <f t="shared" si="83"/>
        <v>5096405.1500000004</v>
      </c>
    </row>
    <row r="193" spans="20:22" x14ac:dyDescent="0.15">
      <c r="T193" s="6">
        <v>3.98180832E+16</v>
      </c>
      <c r="U193" t="str">
        <f t="shared" si="82"/>
        <v>39818083200000000</v>
      </c>
      <c r="V193">
        <f t="shared" si="83"/>
        <v>3.98180832E+16</v>
      </c>
    </row>
    <row r="194" spans="20:22" x14ac:dyDescent="0.15">
      <c r="T194" s="6" t="s">
        <v>153</v>
      </c>
      <c r="U194" t="str">
        <f t="shared" si="82"/>
        <v>2518485,3</v>
      </c>
      <c r="V194">
        <f t="shared" si="83"/>
        <v>2518485.2999999998</v>
      </c>
    </row>
    <row r="195" spans="20:22" x14ac:dyDescent="0.15">
      <c r="T195" s="6">
        <v>3.9937289699999904E+16</v>
      </c>
      <c r="U195" t="str">
        <f t="shared" ref="U195:U258" si="84">SUBSTITUTE(T195,".",",")</f>
        <v>39937289699999900</v>
      </c>
      <c r="V195">
        <f t="shared" ref="V195:V258" si="85">_xlfn.NUMBERVALUE(U195)</f>
        <v>3.9937289699999904E+16</v>
      </c>
    </row>
    <row r="196" spans="20:22" x14ac:dyDescent="0.15">
      <c r="T196" s="6" t="s">
        <v>190</v>
      </c>
      <c r="U196" t="str">
        <f t="shared" si="84"/>
        <v>429787,45</v>
      </c>
      <c r="V196">
        <f t="shared" si="85"/>
        <v>429787.45</v>
      </c>
    </row>
    <row r="197" spans="20:22" x14ac:dyDescent="0.15">
      <c r="T197" s="6" t="s">
        <v>208</v>
      </c>
      <c r="U197" t="str">
        <f t="shared" si="84"/>
        <v>858601,26</v>
      </c>
      <c r="V197">
        <f t="shared" si="85"/>
        <v>858601.26</v>
      </c>
    </row>
    <row r="198" spans="20:22" x14ac:dyDescent="0.15">
      <c r="T198" s="6">
        <v>5317590529999990</v>
      </c>
      <c r="U198" t="str">
        <f t="shared" si="84"/>
        <v>5317590529999990</v>
      </c>
      <c r="V198">
        <f t="shared" si="85"/>
        <v>5317590529999990</v>
      </c>
    </row>
    <row r="199" spans="20:22" x14ac:dyDescent="0.15">
      <c r="T199" s="6" t="s">
        <v>245</v>
      </c>
      <c r="U199" t="str">
        <f t="shared" si="84"/>
        <v>3211216,55</v>
      </c>
      <c r="V199">
        <f t="shared" si="85"/>
        <v>3211216.55</v>
      </c>
    </row>
    <row r="200" spans="20:22" x14ac:dyDescent="0.15">
      <c r="T200" s="6">
        <v>1.252731219E+16</v>
      </c>
      <c r="U200" t="str">
        <f t="shared" si="84"/>
        <v>12527312190000000</v>
      </c>
      <c r="V200">
        <f t="shared" si="85"/>
        <v>1.252731219E+16</v>
      </c>
    </row>
    <row r="201" spans="20:22" x14ac:dyDescent="0.15">
      <c r="T201" s="6">
        <v>5981083589999990</v>
      </c>
      <c r="U201" t="str">
        <f t="shared" si="84"/>
        <v>5981083589999990</v>
      </c>
      <c r="V201">
        <f t="shared" si="85"/>
        <v>5981083589999990</v>
      </c>
    </row>
    <row r="202" spans="20:22" x14ac:dyDescent="0.15">
      <c r="T202" s="6">
        <v>3748025899999990</v>
      </c>
      <c r="U202" t="str">
        <f t="shared" si="84"/>
        <v>3748025899999990</v>
      </c>
      <c r="V202">
        <f t="shared" si="85"/>
        <v>3748025899999990</v>
      </c>
    </row>
    <row r="203" spans="20:22" x14ac:dyDescent="0.15">
      <c r="T203" s="6">
        <v>7091715529999990</v>
      </c>
      <c r="U203" t="str">
        <f t="shared" si="84"/>
        <v>7091715529999990</v>
      </c>
      <c r="V203">
        <f t="shared" si="85"/>
        <v>7091715529999990</v>
      </c>
    </row>
    <row r="204" spans="20:22" x14ac:dyDescent="0.15">
      <c r="T204" s="6" t="s">
        <v>336</v>
      </c>
      <c r="U204" t="str">
        <f t="shared" si="84"/>
        <v>8226710,19</v>
      </c>
      <c r="V204">
        <f t="shared" si="85"/>
        <v>8226710.1900000004</v>
      </c>
    </row>
    <row r="205" spans="20:22" x14ac:dyDescent="0.15">
      <c r="T205" s="6">
        <v>4505812440000000</v>
      </c>
      <c r="U205" t="str">
        <f t="shared" si="84"/>
        <v>4505812440000000</v>
      </c>
      <c r="V205">
        <f t="shared" si="85"/>
        <v>4505812440000000</v>
      </c>
    </row>
    <row r="206" spans="20:22" x14ac:dyDescent="0.15">
      <c r="T206" s="6">
        <v>7003302550000000</v>
      </c>
      <c r="U206" t="str">
        <f t="shared" si="84"/>
        <v>7003302550000000</v>
      </c>
      <c r="V206">
        <f t="shared" si="85"/>
        <v>7003302550000000</v>
      </c>
    </row>
    <row r="207" spans="20:22" x14ac:dyDescent="0.15">
      <c r="T207" s="6">
        <v>2289753426000000</v>
      </c>
      <c r="U207" t="str">
        <f t="shared" si="84"/>
        <v>2289753426000000</v>
      </c>
      <c r="V207">
        <f t="shared" si="85"/>
        <v>2289753426000000</v>
      </c>
    </row>
    <row r="208" spans="20:22" x14ac:dyDescent="0.15">
      <c r="T208" s="6">
        <v>8630832220000000</v>
      </c>
      <c r="U208" t="str">
        <f t="shared" si="84"/>
        <v>8630832220000000</v>
      </c>
      <c r="V208">
        <f t="shared" si="85"/>
        <v>8630832220000000</v>
      </c>
    </row>
    <row r="209" spans="20:22" x14ac:dyDescent="0.15">
      <c r="T209" s="6">
        <v>8879598310000010</v>
      </c>
      <c r="U209" t="str">
        <f t="shared" si="84"/>
        <v>8879598310000010</v>
      </c>
      <c r="V209">
        <f t="shared" si="85"/>
        <v>8879598310000010</v>
      </c>
    </row>
    <row r="210" spans="20:22" x14ac:dyDescent="0.15">
      <c r="T210" s="6" t="s">
        <v>444</v>
      </c>
      <c r="U210" t="str">
        <f t="shared" si="84"/>
        <v>3179028,71</v>
      </c>
      <c r="V210">
        <f t="shared" si="85"/>
        <v>3179028.71</v>
      </c>
    </row>
    <row r="211" spans="20:22" x14ac:dyDescent="0.15">
      <c r="T211" s="6" t="s">
        <v>462</v>
      </c>
      <c r="U211" t="str">
        <f t="shared" si="84"/>
        <v>5012711,1</v>
      </c>
      <c r="V211">
        <f t="shared" si="85"/>
        <v>5012711.0999999996</v>
      </c>
    </row>
    <row r="212" spans="20:22" x14ac:dyDescent="0.15">
      <c r="T212" s="6">
        <v>2826870449999990</v>
      </c>
      <c r="U212" t="str">
        <f t="shared" si="84"/>
        <v>2826870449999990</v>
      </c>
      <c r="V212">
        <f t="shared" si="85"/>
        <v>2826870449999990</v>
      </c>
    </row>
    <row r="213" spans="20:22" x14ac:dyDescent="0.15">
      <c r="T213" s="6" t="s">
        <v>499</v>
      </c>
      <c r="U213" t="str">
        <f t="shared" si="84"/>
        <v>13662122,3</v>
      </c>
      <c r="V213">
        <f t="shared" si="85"/>
        <v>13662122.300000001</v>
      </c>
    </row>
    <row r="214" spans="20:22" x14ac:dyDescent="0.15">
      <c r="T214" s="6">
        <v>5.5138442299999904E+16</v>
      </c>
      <c r="U214" t="str">
        <f t="shared" si="84"/>
        <v>55138442299999900</v>
      </c>
      <c r="V214">
        <f t="shared" si="85"/>
        <v>5.5138442299999904E+16</v>
      </c>
    </row>
    <row r="215" spans="20:22" x14ac:dyDescent="0.15">
      <c r="T215" s="6" t="s">
        <v>535</v>
      </c>
      <c r="U215" t="str">
        <f t="shared" si="84"/>
        <v>1248778,48</v>
      </c>
      <c r="V215">
        <f t="shared" si="85"/>
        <v>1248778.48</v>
      </c>
    </row>
    <row r="216" spans="20:22" x14ac:dyDescent="0.15">
      <c r="T216" s="6">
        <v>1.85614458E+16</v>
      </c>
      <c r="U216" t="str">
        <f t="shared" si="84"/>
        <v>18561445800000000</v>
      </c>
      <c r="V216">
        <f t="shared" si="85"/>
        <v>1.85614458E+16</v>
      </c>
    </row>
    <row r="217" spans="20:22" x14ac:dyDescent="0.15">
      <c r="T217" s="6">
        <v>6221943919999990</v>
      </c>
      <c r="U217" t="str">
        <f t="shared" si="84"/>
        <v>6221943919999990</v>
      </c>
      <c r="V217">
        <f t="shared" si="85"/>
        <v>6221943919999990</v>
      </c>
    </row>
    <row r="218" spans="20:22" x14ac:dyDescent="0.15">
      <c r="T218" s="6">
        <v>1.09897756299999E+16</v>
      </c>
      <c r="U218" t="str">
        <f t="shared" si="84"/>
        <v>10989775629999900</v>
      </c>
      <c r="V218">
        <f t="shared" si="85"/>
        <v>1.09897756299999E+16</v>
      </c>
    </row>
    <row r="219" spans="20:22" x14ac:dyDescent="0.15">
      <c r="T219" s="6">
        <v>4684924210000000</v>
      </c>
      <c r="U219" t="str">
        <f t="shared" si="84"/>
        <v>4684924210000000</v>
      </c>
      <c r="V219">
        <f t="shared" si="85"/>
        <v>4684924210000000</v>
      </c>
    </row>
    <row r="220" spans="20:22" x14ac:dyDescent="0.15">
      <c r="T220" s="6">
        <v>2.90312519E+16</v>
      </c>
      <c r="U220" t="str">
        <f t="shared" si="84"/>
        <v>29031251900000000</v>
      </c>
      <c r="V220">
        <f t="shared" si="85"/>
        <v>2.90312519E+16</v>
      </c>
    </row>
    <row r="221" spans="20:22" x14ac:dyDescent="0.15">
      <c r="T221" s="6" t="s">
        <v>640</v>
      </c>
      <c r="U221" t="str">
        <f t="shared" si="84"/>
        <v>8055894,07</v>
      </c>
      <c r="V221">
        <f t="shared" si="85"/>
        <v>8055894.0700000003</v>
      </c>
    </row>
    <row r="222" spans="20:22" x14ac:dyDescent="0.15">
      <c r="T222" s="6">
        <v>1.33834132999999E+16</v>
      </c>
      <c r="U222" t="str">
        <f t="shared" si="84"/>
        <v>13383413299999900</v>
      </c>
      <c r="V222">
        <f t="shared" si="85"/>
        <v>1.33834132999999E+16</v>
      </c>
    </row>
    <row r="223" spans="20:22" x14ac:dyDescent="0.15">
      <c r="T223" s="6">
        <v>2.54054144899999E+16</v>
      </c>
      <c r="U223" t="str">
        <f t="shared" si="84"/>
        <v>25405414489999900</v>
      </c>
      <c r="V223">
        <f t="shared" si="85"/>
        <v>2.54054144899999E+16</v>
      </c>
    </row>
    <row r="224" spans="20:22" x14ac:dyDescent="0.15">
      <c r="T224" s="6" t="s">
        <v>694</v>
      </c>
      <c r="U224" t="str">
        <f t="shared" si="84"/>
        <v>5096405,15</v>
      </c>
      <c r="V224">
        <f t="shared" si="85"/>
        <v>5096405.1500000004</v>
      </c>
    </row>
    <row r="225" spans="20:22" x14ac:dyDescent="0.15">
      <c r="T225" s="6">
        <v>3.98180832E+16</v>
      </c>
      <c r="U225" t="str">
        <f t="shared" si="84"/>
        <v>39818083200000000</v>
      </c>
      <c r="V225">
        <f t="shared" si="85"/>
        <v>3.98180832E+16</v>
      </c>
    </row>
    <row r="226" spans="20:22" x14ac:dyDescent="0.15">
      <c r="T226" s="6" t="s">
        <v>153</v>
      </c>
      <c r="U226" t="str">
        <f t="shared" si="84"/>
        <v>2518485,3</v>
      </c>
      <c r="V226">
        <f t="shared" si="85"/>
        <v>2518485.2999999998</v>
      </c>
    </row>
    <row r="227" spans="20:22" x14ac:dyDescent="0.15">
      <c r="T227" s="6">
        <v>3.9937289699999904E+16</v>
      </c>
      <c r="U227" t="str">
        <f t="shared" si="84"/>
        <v>39937289699999900</v>
      </c>
      <c r="V227">
        <f t="shared" si="85"/>
        <v>3.9937289699999904E+16</v>
      </c>
    </row>
    <row r="228" spans="20:22" x14ac:dyDescent="0.15">
      <c r="T228" s="6" t="s">
        <v>190</v>
      </c>
      <c r="U228" t="str">
        <f t="shared" si="84"/>
        <v>429787,45</v>
      </c>
      <c r="V228">
        <f t="shared" si="85"/>
        <v>429787.45</v>
      </c>
    </row>
    <row r="229" spans="20:22" x14ac:dyDescent="0.15">
      <c r="T229" s="6" t="s">
        <v>208</v>
      </c>
      <c r="U229" t="str">
        <f t="shared" si="84"/>
        <v>858601,26</v>
      </c>
      <c r="V229">
        <f t="shared" si="85"/>
        <v>858601.26</v>
      </c>
    </row>
    <row r="230" spans="20:22" x14ac:dyDescent="0.15">
      <c r="T230" s="6">
        <v>5317590529999990</v>
      </c>
      <c r="U230" t="str">
        <f t="shared" si="84"/>
        <v>5317590529999990</v>
      </c>
      <c r="V230">
        <f t="shared" si="85"/>
        <v>5317590529999990</v>
      </c>
    </row>
    <row r="231" spans="20:22" x14ac:dyDescent="0.15">
      <c r="T231" s="6" t="s">
        <v>245</v>
      </c>
      <c r="U231" t="str">
        <f t="shared" si="84"/>
        <v>3211216,55</v>
      </c>
      <c r="V231">
        <f t="shared" si="85"/>
        <v>3211216.55</v>
      </c>
    </row>
    <row r="232" spans="20:22" x14ac:dyDescent="0.15">
      <c r="T232" s="6">
        <v>1.252731219E+16</v>
      </c>
      <c r="U232" t="str">
        <f t="shared" si="84"/>
        <v>12527312190000000</v>
      </c>
      <c r="V232">
        <f t="shared" si="85"/>
        <v>1.252731219E+16</v>
      </c>
    </row>
    <row r="233" spans="20:22" x14ac:dyDescent="0.15">
      <c r="T233" s="6">
        <v>5981083589999990</v>
      </c>
      <c r="U233" t="str">
        <f t="shared" si="84"/>
        <v>5981083589999990</v>
      </c>
      <c r="V233">
        <f t="shared" si="85"/>
        <v>5981083589999990</v>
      </c>
    </row>
    <row r="234" spans="20:22" x14ac:dyDescent="0.15">
      <c r="T234" s="6">
        <v>3748025899999990</v>
      </c>
      <c r="U234" t="str">
        <f t="shared" si="84"/>
        <v>3748025899999990</v>
      </c>
      <c r="V234">
        <f t="shared" si="85"/>
        <v>3748025899999990</v>
      </c>
    </row>
    <row r="235" spans="20:22" x14ac:dyDescent="0.15">
      <c r="T235" s="6">
        <v>7091715529999990</v>
      </c>
      <c r="U235" t="str">
        <f t="shared" si="84"/>
        <v>7091715529999990</v>
      </c>
      <c r="V235">
        <f t="shared" si="85"/>
        <v>7091715529999990</v>
      </c>
    </row>
    <row r="236" spans="20:22" x14ac:dyDescent="0.15">
      <c r="T236" s="6" t="s">
        <v>336</v>
      </c>
      <c r="U236" t="str">
        <f t="shared" si="84"/>
        <v>8226710,19</v>
      </c>
      <c r="V236">
        <f t="shared" si="85"/>
        <v>8226710.1900000004</v>
      </c>
    </row>
    <row r="237" spans="20:22" x14ac:dyDescent="0.15">
      <c r="T237" s="6">
        <v>4505812440000000</v>
      </c>
      <c r="U237" t="str">
        <f t="shared" si="84"/>
        <v>4505812440000000</v>
      </c>
      <c r="V237">
        <f t="shared" si="85"/>
        <v>4505812440000000</v>
      </c>
    </row>
    <row r="238" spans="20:22" x14ac:dyDescent="0.15">
      <c r="T238" s="6">
        <v>7003302550000000</v>
      </c>
      <c r="U238" t="str">
        <f t="shared" si="84"/>
        <v>7003302550000000</v>
      </c>
      <c r="V238">
        <f t="shared" si="85"/>
        <v>7003302550000000</v>
      </c>
    </row>
    <row r="239" spans="20:22" x14ac:dyDescent="0.15">
      <c r="T239" s="6">
        <v>2289753426000000</v>
      </c>
      <c r="U239" t="str">
        <f t="shared" si="84"/>
        <v>2289753426000000</v>
      </c>
      <c r="V239">
        <f t="shared" si="85"/>
        <v>2289753426000000</v>
      </c>
    </row>
    <row r="240" spans="20:22" x14ac:dyDescent="0.15">
      <c r="T240" s="6">
        <v>8630832220000000</v>
      </c>
      <c r="U240" t="str">
        <f t="shared" si="84"/>
        <v>8630832220000000</v>
      </c>
      <c r="V240">
        <f t="shared" si="85"/>
        <v>8630832220000000</v>
      </c>
    </row>
    <row r="241" spans="20:22" x14ac:dyDescent="0.15">
      <c r="T241" s="6">
        <v>8879598310000010</v>
      </c>
      <c r="U241" t="str">
        <f t="shared" si="84"/>
        <v>8879598310000010</v>
      </c>
      <c r="V241">
        <f t="shared" si="85"/>
        <v>8879598310000010</v>
      </c>
    </row>
    <row r="242" spans="20:22" x14ac:dyDescent="0.15">
      <c r="T242" s="6" t="s">
        <v>444</v>
      </c>
      <c r="U242" t="str">
        <f t="shared" si="84"/>
        <v>3179028,71</v>
      </c>
      <c r="V242">
        <f t="shared" si="85"/>
        <v>3179028.71</v>
      </c>
    </row>
    <row r="243" spans="20:22" x14ac:dyDescent="0.15">
      <c r="T243" s="6" t="s">
        <v>462</v>
      </c>
      <c r="U243" t="str">
        <f t="shared" si="84"/>
        <v>5012711,1</v>
      </c>
      <c r="V243">
        <f t="shared" si="85"/>
        <v>5012711.0999999996</v>
      </c>
    </row>
    <row r="244" spans="20:22" x14ac:dyDescent="0.15">
      <c r="T244" s="6">
        <v>2826870449999990</v>
      </c>
      <c r="U244" t="str">
        <f t="shared" si="84"/>
        <v>2826870449999990</v>
      </c>
      <c r="V244">
        <f t="shared" si="85"/>
        <v>2826870449999990</v>
      </c>
    </row>
    <row r="245" spans="20:22" x14ac:dyDescent="0.15">
      <c r="T245" s="6" t="s">
        <v>499</v>
      </c>
      <c r="U245" t="str">
        <f t="shared" si="84"/>
        <v>13662122,3</v>
      </c>
      <c r="V245">
        <f t="shared" si="85"/>
        <v>13662122.300000001</v>
      </c>
    </row>
    <row r="246" spans="20:22" x14ac:dyDescent="0.15">
      <c r="T246" s="6">
        <v>5.5138442299999904E+16</v>
      </c>
      <c r="U246" t="str">
        <f t="shared" si="84"/>
        <v>55138442299999900</v>
      </c>
      <c r="V246">
        <f t="shared" si="85"/>
        <v>5.5138442299999904E+16</v>
      </c>
    </row>
    <row r="247" spans="20:22" x14ac:dyDescent="0.15">
      <c r="T247" s="6" t="s">
        <v>535</v>
      </c>
      <c r="U247" t="str">
        <f t="shared" si="84"/>
        <v>1248778,48</v>
      </c>
      <c r="V247">
        <f t="shared" si="85"/>
        <v>1248778.48</v>
      </c>
    </row>
    <row r="248" spans="20:22" x14ac:dyDescent="0.15">
      <c r="T248" s="6">
        <v>1.85614458E+16</v>
      </c>
      <c r="U248" t="str">
        <f t="shared" si="84"/>
        <v>18561445800000000</v>
      </c>
      <c r="V248">
        <f t="shared" si="85"/>
        <v>1.85614458E+16</v>
      </c>
    </row>
    <row r="249" spans="20:22" x14ac:dyDescent="0.15">
      <c r="T249" s="6">
        <v>6221943919999990</v>
      </c>
      <c r="U249" t="str">
        <f t="shared" si="84"/>
        <v>6221943919999990</v>
      </c>
      <c r="V249">
        <f t="shared" si="85"/>
        <v>6221943919999990</v>
      </c>
    </row>
    <row r="250" spans="20:22" x14ac:dyDescent="0.15">
      <c r="T250" s="6">
        <v>1.09897756299999E+16</v>
      </c>
      <c r="U250" t="str">
        <f t="shared" si="84"/>
        <v>10989775629999900</v>
      </c>
      <c r="V250">
        <f t="shared" si="85"/>
        <v>1.09897756299999E+16</v>
      </c>
    </row>
    <row r="251" spans="20:22" x14ac:dyDescent="0.15">
      <c r="T251" s="6">
        <v>4684924210000000</v>
      </c>
      <c r="U251" t="str">
        <f t="shared" si="84"/>
        <v>4684924210000000</v>
      </c>
      <c r="V251">
        <f t="shared" si="85"/>
        <v>4684924210000000</v>
      </c>
    </row>
    <row r="252" spans="20:22" x14ac:dyDescent="0.15">
      <c r="T252" s="6">
        <v>2.90312519E+16</v>
      </c>
      <c r="U252" t="str">
        <f t="shared" si="84"/>
        <v>29031251900000000</v>
      </c>
      <c r="V252">
        <f t="shared" si="85"/>
        <v>2.90312519E+16</v>
      </c>
    </row>
    <row r="253" spans="20:22" x14ac:dyDescent="0.15">
      <c r="T253" s="6" t="s">
        <v>640</v>
      </c>
      <c r="U253" t="str">
        <f t="shared" si="84"/>
        <v>8055894,07</v>
      </c>
      <c r="V253">
        <f t="shared" si="85"/>
        <v>8055894.0700000003</v>
      </c>
    </row>
    <row r="254" spans="20:22" x14ac:dyDescent="0.15">
      <c r="T254" s="6">
        <v>1.33834132999999E+16</v>
      </c>
      <c r="U254" t="str">
        <f t="shared" si="84"/>
        <v>13383413299999900</v>
      </c>
      <c r="V254">
        <f t="shared" si="85"/>
        <v>1.33834132999999E+16</v>
      </c>
    </row>
    <row r="255" spans="20:22" x14ac:dyDescent="0.15">
      <c r="T255" s="6">
        <v>2.54054144899999E+16</v>
      </c>
      <c r="U255" t="str">
        <f t="shared" si="84"/>
        <v>25405414489999900</v>
      </c>
      <c r="V255">
        <f t="shared" si="85"/>
        <v>2.54054144899999E+16</v>
      </c>
    </row>
    <row r="256" spans="20:22" x14ac:dyDescent="0.15">
      <c r="T256" s="6" t="s">
        <v>694</v>
      </c>
      <c r="U256" t="str">
        <f t="shared" si="84"/>
        <v>5096405,15</v>
      </c>
      <c r="V256">
        <f t="shared" si="85"/>
        <v>5096405.1500000004</v>
      </c>
    </row>
    <row r="257" spans="20:22" x14ac:dyDescent="0.15">
      <c r="T257" s="6">
        <v>3.98180832E+16</v>
      </c>
      <c r="U257" t="str">
        <f t="shared" si="84"/>
        <v>39818083200000000</v>
      </c>
      <c r="V257">
        <f t="shared" si="85"/>
        <v>3.98180832E+16</v>
      </c>
    </row>
    <row r="258" spans="20:22" x14ac:dyDescent="0.15">
      <c r="T258" s="6" t="s">
        <v>153</v>
      </c>
      <c r="U258" t="str">
        <f t="shared" si="84"/>
        <v>2518485,3</v>
      </c>
      <c r="V258">
        <f t="shared" si="85"/>
        <v>2518485.2999999998</v>
      </c>
    </row>
    <row r="259" spans="20:22" x14ac:dyDescent="0.15">
      <c r="T259" s="6">
        <v>3.9937289699999904E+16</v>
      </c>
      <c r="U259" t="str">
        <f t="shared" ref="U259:U322" si="86">SUBSTITUTE(T259,".",",")</f>
        <v>39937289699999900</v>
      </c>
      <c r="V259">
        <f t="shared" ref="V259:V322" si="87">_xlfn.NUMBERVALUE(U259)</f>
        <v>3.9937289699999904E+16</v>
      </c>
    </row>
    <row r="260" spans="20:22" x14ac:dyDescent="0.15">
      <c r="T260" s="6" t="s">
        <v>190</v>
      </c>
      <c r="U260" t="str">
        <f t="shared" si="86"/>
        <v>429787,45</v>
      </c>
      <c r="V260">
        <f t="shared" si="87"/>
        <v>429787.45</v>
      </c>
    </row>
    <row r="261" spans="20:22" x14ac:dyDescent="0.15">
      <c r="T261" s="6" t="s">
        <v>208</v>
      </c>
      <c r="U261" t="str">
        <f t="shared" si="86"/>
        <v>858601,26</v>
      </c>
      <c r="V261">
        <f t="shared" si="87"/>
        <v>858601.26</v>
      </c>
    </row>
    <row r="262" spans="20:22" x14ac:dyDescent="0.15">
      <c r="T262" s="6">
        <v>5317590529999990</v>
      </c>
      <c r="U262" t="str">
        <f t="shared" si="86"/>
        <v>5317590529999990</v>
      </c>
      <c r="V262">
        <f t="shared" si="87"/>
        <v>5317590529999990</v>
      </c>
    </row>
    <row r="263" spans="20:22" x14ac:dyDescent="0.15">
      <c r="T263" s="6" t="s">
        <v>245</v>
      </c>
      <c r="U263" t="str">
        <f t="shared" si="86"/>
        <v>3211216,55</v>
      </c>
      <c r="V263">
        <f t="shared" si="87"/>
        <v>3211216.55</v>
      </c>
    </row>
    <row r="264" spans="20:22" x14ac:dyDescent="0.15">
      <c r="T264" s="6">
        <v>1.252731219E+16</v>
      </c>
      <c r="U264" t="str">
        <f t="shared" si="86"/>
        <v>12527312190000000</v>
      </c>
      <c r="V264">
        <f t="shared" si="87"/>
        <v>1.252731219E+16</v>
      </c>
    </row>
    <row r="265" spans="20:22" x14ac:dyDescent="0.15">
      <c r="T265" s="6">
        <v>5981083589999990</v>
      </c>
      <c r="U265" t="str">
        <f t="shared" si="86"/>
        <v>5981083589999990</v>
      </c>
      <c r="V265">
        <f t="shared" si="87"/>
        <v>5981083589999990</v>
      </c>
    </row>
    <row r="266" spans="20:22" x14ac:dyDescent="0.15">
      <c r="T266" s="6">
        <v>3748025899999990</v>
      </c>
      <c r="U266" t="str">
        <f t="shared" si="86"/>
        <v>3748025899999990</v>
      </c>
      <c r="V266">
        <f t="shared" si="87"/>
        <v>3748025899999990</v>
      </c>
    </row>
    <row r="267" spans="20:22" x14ac:dyDescent="0.15">
      <c r="T267" s="6">
        <v>7091715529999990</v>
      </c>
      <c r="U267" t="str">
        <f t="shared" si="86"/>
        <v>7091715529999990</v>
      </c>
      <c r="V267">
        <f t="shared" si="87"/>
        <v>7091715529999990</v>
      </c>
    </row>
    <row r="268" spans="20:22" x14ac:dyDescent="0.15">
      <c r="T268" s="6" t="s">
        <v>336</v>
      </c>
      <c r="U268" t="str">
        <f t="shared" si="86"/>
        <v>8226710,19</v>
      </c>
      <c r="V268">
        <f t="shared" si="87"/>
        <v>8226710.1900000004</v>
      </c>
    </row>
    <row r="269" spans="20:22" x14ac:dyDescent="0.15">
      <c r="T269" s="6">
        <v>4505812440000000</v>
      </c>
      <c r="U269" t="str">
        <f t="shared" si="86"/>
        <v>4505812440000000</v>
      </c>
      <c r="V269">
        <f t="shared" si="87"/>
        <v>4505812440000000</v>
      </c>
    </row>
    <row r="270" spans="20:22" x14ac:dyDescent="0.15">
      <c r="T270" s="6">
        <v>7003302550000000</v>
      </c>
      <c r="U270" t="str">
        <f t="shared" si="86"/>
        <v>7003302550000000</v>
      </c>
      <c r="V270">
        <f t="shared" si="87"/>
        <v>7003302550000000</v>
      </c>
    </row>
    <row r="271" spans="20:22" x14ac:dyDescent="0.15">
      <c r="T271" s="6">
        <v>2289753426000000</v>
      </c>
      <c r="U271" t="str">
        <f t="shared" si="86"/>
        <v>2289753426000000</v>
      </c>
      <c r="V271">
        <f t="shared" si="87"/>
        <v>2289753426000000</v>
      </c>
    </row>
    <row r="272" spans="20:22" x14ac:dyDescent="0.15">
      <c r="T272" s="6">
        <v>8630832220000000</v>
      </c>
      <c r="U272" t="str">
        <f t="shared" si="86"/>
        <v>8630832220000000</v>
      </c>
      <c r="V272">
        <f t="shared" si="87"/>
        <v>8630832220000000</v>
      </c>
    </row>
    <row r="273" spans="20:22" x14ac:dyDescent="0.15">
      <c r="T273" s="6">
        <v>8879598310000010</v>
      </c>
      <c r="U273" t="str">
        <f t="shared" si="86"/>
        <v>8879598310000010</v>
      </c>
      <c r="V273">
        <f t="shared" si="87"/>
        <v>8879598310000010</v>
      </c>
    </row>
    <row r="274" spans="20:22" x14ac:dyDescent="0.15">
      <c r="T274" s="6" t="s">
        <v>444</v>
      </c>
      <c r="U274" t="str">
        <f t="shared" si="86"/>
        <v>3179028,71</v>
      </c>
      <c r="V274">
        <f t="shared" si="87"/>
        <v>3179028.71</v>
      </c>
    </row>
    <row r="275" spans="20:22" x14ac:dyDescent="0.15">
      <c r="T275" s="6" t="s">
        <v>462</v>
      </c>
      <c r="U275" t="str">
        <f t="shared" si="86"/>
        <v>5012711,1</v>
      </c>
      <c r="V275">
        <f t="shared" si="87"/>
        <v>5012711.0999999996</v>
      </c>
    </row>
    <row r="276" spans="20:22" x14ac:dyDescent="0.15">
      <c r="T276" s="6">
        <v>2826870449999990</v>
      </c>
      <c r="U276" t="str">
        <f t="shared" si="86"/>
        <v>2826870449999990</v>
      </c>
      <c r="V276">
        <f t="shared" si="87"/>
        <v>2826870449999990</v>
      </c>
    </row>
    <row r="277" spans="20:22" x14ac:dyDescent="0.15">
      <c r="T277" s="6" t="s">
        <v>499</v>
      </c>
      <c r="U277" t="str">
        <f t="shared" si="86"/>
        <v>13662122,3</v>
      </c>
      <c r="V277">
        <f t="shared" si="87"/>
        <v>13662122.300000001</v>
      </c>
    </row>
    <row r="278" spans="20:22" x14ac:dyDescent="0.15">
      <c r="T278" s="6">
        <v>5.5138442299999904E+16</v>
      </c>
      <c r="U278" t="str">
        <f t="shared" si="86"/>
        <v>55138442299999900</v>
      </c>
      <c r="V278">
        <f t="shared" si="87"/>
        <v>5.5138442299999904E+16</v>
      </c>
    </row>
    <row r="279" spans="20:22" x14ac:dyDescent="0.15">
      <c r="T279" s="6" t="s">
        <v>535</v>
      </c>
      <c r="U279" t="str">
        <f t="shared" si="86"/>
        <v>1248778,48</v>
      </c>
      <c r="V279">
        <f t="shared" si="87"/>
        <v>1248778.48</v>
      </c>
    </row>
    <row r="280" spans="20:22" x14ac:dyDescent="0.15">
      <c r="T280" s="6">
        <v>1.85614458E+16</v>
      </c>
      <c r="U280" t="str">
        <f t="shared" si="86"/>
        <v>18561445800000000</v>
      </c>
      <c r="V280">
        <f t="shared" si="87"/>
        <v>1.85614458E+16</v>
      </c>
    </row>
    <row r="281" spans="20:22" x14ac:dyDescent="0.15">
      <c r="T281" s="6">
        <v>6221943919999990</v>
      </c>
      <c r="U281" t="str">
        <f t="shared" si="86"/>
        <v>6221943919999990</v>
      </c>
      <c r="V281">
        <f t="shared" si="87"/>
        <v>6221943919999990</v>
      </c>
    </row>
    <row r="282" spans="20:22" x14ac:dyDescent="0.15">
      <c r="T282" s="6">
        <v>1.09897756299999E+16</v>
      </c>
      <c r="U282" t="str">
        <f t="shared" si="86"/>
        <v>10989775629999900</v>
      </c>
      <c r="V282">
        <f t="shared" si="87"/>
        <v>1.09897756299999E+16</v>
      </c>
    </row>
    <row r="283" spans="20:22" x14ac:dyDescent="0.15">
      <c r="T283" s="6">
        <v>4684924210000000</v>
      </c>
      <c r="U283" t="str">
        <f t="shared" si="86"/>
        <v>4684924210000000</v>
      </c>
      <c r="V283">
        <f t="shared" si="87"/>
        <v>4684924210000000</v>
      </c>
    </row>
    <row r="284" spans="20:22" x14ac:dyDescent="0.15">
      <c r="T284" s="6">
        <v>2.90312519E+16</v>
      </c>
      <c r="U284" t="str">
        <f t="shared" si="86"/>
        <v>29031251900000000</v>
      </c>
      <c r="V284">
        <f t="shared" si="87"/>
        <v>2.90312519E+16</v>
      </c>
    </row>
    <row r="285" spans="20:22" x14ac:dyDescent="0.15">
      <c r="T285" s="6" t="s">
        <v>640</v>
      </c>
      <c r="U285" t="str">
        <f t="shared" si="86"/>
        <v>8055894,07</v>
      </c>
      <c r="V285">
        <f t="shared" si="87"/>
        <v>8055894.0700000003</v>
      </c>
    </row>
    <row r="286" spans="20:22" x14ac:dyDescent="0.15">
      <c r="T286" s="6">
        <v>1.33834132999999E+16</v>
      </c>
      <c r="U286" t="str">
        <f t="shared" si="86"/>
        <v>13383413299999900</v>
      </c>
      <c r="V286">
        <f t="shared" si="87"/>
        <v>1.33834132999999E+16</v>
      </c>
    </row>
    <row r="287" spans="20:22" x14ac:dyDescent="0.15">
      <c r="T287" s="6">
        <v>2.54054144899999E+16</v>
      </c>
      <c r="U287" t="str">
        <f t="shared" si="86"/>
        <v>25405414489999900</v>
      </c>
      <c r="V287">
        <f t="shared" si="87"/>
        <v>2.54054144899999E+16</v>
      </c>
    </row>
    <row r="288" spans="20:22" x14ac:dyDescent="0.15">
      <c r="T288" s="6" t="s">
        <v>694</v>
      </c>
      <c r="U288" t="str">
        <f t="shared" si="86"/>
        <v>5096405,15</v>
      </c>
      <c r="V288">
        <f t="shared" si="87"/>
        <v>5096405.1500000004</v>
      </c>
    </row>
    <row r="289" spans="20:22" x14ac:dyDescent="0.15">
      <c r="T289" s="6">
        <v>3.98180832E+16</v>
      </c>
      <c r="U289" t="str">
        <f t="shared" si="86"/>
        <v>39818083200000000</v>
      </c>
      <c r="V289">
        <f t="shared" si="87"/>
        <v>3.98180832E+16</v>
      </c>
    </row>
    <row r="290" spans="20:22" x14ac:dyDescent="0.15">
      <c r="T290" s="6" t="s">
        <v>153</v>
      </c>
      <c r="U290" t="str">
        <f t="shared" si="86"/>
        <v>2518485,3</v>
      </c>
      <c r="V290">
        <f t="shared" si="87"/>
        <v>2518485.2999999998</v>
      </c>
    </row>
    <row r="291" spans="20:22" x14ac:dyDescent="0.15">
      <c r="T291" s="6">
        <v>3.9937289699999904E+16</v>
      </c>
      <c r="U291" t="str">
        <f t="shared" si="86"/>
        <v>39937289699999900</v>
      </c>
      <c r="V291">
        <f t="shared" si="87"/>
        <v>3.9937289699999904E+16</v>
      </c>
    </row>
    <row r="292" spans="20:22" x14ac:dyDescent="0.15">
      <c r="T292" s="6" t="s">
        <v>190</v>
      </c>
      <c r="U292" t="str">
        <f t="shared" si="86"/>
        <v>429787,45</v>
      </c>
      <c r="V292">
        <f t="shared" si="87"/>
        <v>429787.45</v>
      </c>
    </row>
    <row r="293" spans="20:22" x14ac:dyDescent="0.15">
      <c r="T293" s="6" t="s">
        <v>208</v>
      </c>
      <c r="U293" t="str">
        <f t="shared" si="86"/>
        <v>858601,26</v>
      </c>
      <c r="V293">
        <f t="shared" si="87"/>
        <v>858601.26</v>
      </c>
    </row>
    <row r="294" spans="20:22" x14ac:dyDescent="0.15">
      <c r="T294" s="6">
        <v>5317590529999990</v>
      </c>
      <c r="U294" t="str">
        <f t="shared" si="86"/>
        <v>5317590529999990</v>
      </c>
      <c r="V294">
        <f t="shared" si="87"/>
        <v>5317590529999990</v>
      </c>
    </row>
    <row r="295" spans="20:22" x14ac:dyDescent="0.15">
      <c r="T295" s="6" t="s">
        <v>245</v>
      </c>
      <c r="U295" t="str">
        <f t="shared" si="86"/>
        <v>3211216,55</v>
      </c>
      <c r="V295">
        <f t="shared" si="87"/>
        <v>3211216.55</v>
      </c>
    </row>
    <row r="296" spans="20:22" x14ac:dyDescent="0.15">
      <c r="T296" s="6">
        <v>1.252731219E+16</v>
      </c>
      <c r="U296" t="str">
        <f t="shared" si="86"/>
        <v>12527312190000000</v>
      </c>
      <c r="V296">
        <f t="shared" si="87"/>
        <v>1.252731219E+16</v>
      </c>
    </row>
    <row r="297" spans="20:22" x14ac:dyDescent="0.15">
      <c r="T297" s="6">
        <v>5981083589999990</v>
      </c>
      <c r="U297" t="str">
        <f t="shared" si="86"/>
        <v>5981083589999990</v>
      </c>
      <c r="V297">
        <f t="shared" si="87"/>
        <v>5981083589999990</v>
      </c>
    </row>
    <row r="298" spans="20:22" x14ac:dyDescent="0.15">
      <c r="T298" s="6">
        <v>3748025899999990</v>
      </c>
      <c r="U298" t="str">
        <f t="shared" si="86"/>
        <v>3748025899999990</v>
      </c>
      <c r="V298">
        <f t="shared" si="87"/>
        <v>3748025899999990</v>
      </c>
    </row>
    <row r="299" spans="20:22" x14ac:dyDescent="0.15">
      <c r="T299" s="6">
        <v>7091715529999990</v>
      </c>
      <c r="U299" t="str">
        <f t="shared" si="86"/>
        <v>7091715529999990</v>
      </c>
      <c r="V299">
        <f t="shared" si="87"/>
        <v>7091715529999990</v>
      </c>
    </row>
    <row r="300" spans="20:22" x14ac:dyDescent="0.15">
      <c r="T300" s="6" t="s">
        <v>336</v>
      </c>
      <c r="U300" t="str">
        <f t="shared" si="86"/>
        <v>8226710,19</v>
      </c>
      <c r="V300">
        <f t="shared" si="87"/>
        <v>8226710.1900000004</v>
      </c>
    </row>
    <row r="301" spans="20:22" x14ac:dyDescent="0.15">
      <c r="T301" s="6">
        <v>4505812440000000</v>
      </c>
      <c r="U301" t="str">
        <f t="shared" si="86"/>
        <v>4505812440000000</v>
      </c>
      <c r="V301">
        <f t="shared" si="87"/>
        <v>4505812440000000</v>
      </c>
    </row>
    <row r="302" spans="20:22" x14ac:dyDescent="0.15">
      <c r="T302" s="6">
        <v>7003302550000000</v>
      </c>
      <c r="U302" t="str">
        <f t="shared" si="86"/>
        <v>7003302550000000</v>
      </c>
      <c r="V302">
        <f t="shared" si="87"/>
        <v>7003302550000000</v>
      </c>
    </row>
    <row r="303" spans="20:22" x14ac:dyDescent="0.15">
      <c r="T303" s="6">
        <v>2289753426000000</v>
      </c>
      <c r="U303" t="str">
        <f t="shared" si="86"/>
        <v>2289753426000000</v>
      </c>
      <c r="V303">
        <f t="shared" si="87"/>
        <v>2289753426000000</v>
      </c>
    </row>
    <row r="304" spans="20:22" x14ac:dyDescent="0.15">
      <c r="T304" s="6">
        <v>8630832220000000</v>
      </c>
      <c r="U304" t="str">
        <f t="shared" si="86"/>
        <v>8630832220000000</v>
      </c>
      <c r="V304">
        <f t="shared" si="87"/>
        <v>8630832220000000</v>
      </c>
    </row>
    <row r="305" spans="20:22" x14ac:dyDescent="0.15">
      <c r="T305" s="6">
        <v>8879598310000010</v>
      </c>
      <c r="U305" t="str">
        <f t="shared" si="86"/>
        <v>8879598310000010</v>
      </c>
      <c r="V305">
        <f t="shared" si="87"/>
        <v>8879598310000010</v>
      </c>
    </row>
    <row r="306" spans="20:22" x14ac:dyDescent="0.15">
      <c r="T306" s="6" t="s">
        <v>444</v>
      </c>
      <c r="U306" t="str">
        <f t="shared" si="86"/>
        <v>3179028,71</v>
      </c>
      <c r="V306">
        <f t="shared" si="87"/>
        <v>3179028.71</v>
      </c>
    </row>
    <row r="307" spans="20:22" x14ac:dyDescent="0.15">
      <c r="T307" s="6" t="s">
        <v>462</v>
      </c>
      <c r="U307" t="str">
        <f t="shared" si="86"/>
        <v>5012711,1</v>
      </c>
      <c r="V307">
        <f t="shared" si="87"/>
        <v>5012711.0999999996</v>
      </c>
    </row>
    <row r="308" spans="20:22" x14ac:dyDescent="0.15">
      <c r="T308" s="6">
        <v>2826870449999990</v>
      </c>
      <c r="U308" t="str">
        <f t="shared" si="86"/>
        <v>2826870449999990</v>
      </c>
      <c r="V308">
        <f t="shared" si="87"/>
        <v>2826870449999990</v>
      </c>
    </row>
    <row r="309" spans="20:22" x14ac:dyDescent="0.15">
      <c r="T309" s="6" t="s">
        <v>499</v>
      </c>
      <c r="U309" t="str">
        <f t="shared" si="86"/>
        <v>13662122,3</v>
      </c>
      <c r="V309">
        <f t="shared" si="87"/>
        <v>13662122.300000001</v>
      </c>
    </row>
    <row r="310" spans="20:22" x14ac:dyDescent="0.15">
      <c r="T310" s="6">
        <v>5.5138442299999904E+16</v>
      </c>
      <c r="U310" t="str">
        <f t="shared" si="86"/>
        <v>55138442299999900</v>
      </c>
      <c r="V310">
        <f t="shared" si="87"/>
        <v>5.5138442299999904E+16</v>
      </c>
    </row>
    <row r="311" spans="20:22" x14ac:dyDescent="0.15">
      <c r="T311" s="6" t="s">
        <v>535</v>
      </c>
      <c r="U311" t="str">
        <f t="shared" si="86"/>
        <v>1248778,48</v>
      </c>
      <c r="V311">
        <f t="shared" si="87"/>
        <v>1248778.48</v>
      </c>
    </row>
    <row r="312" spans="20:22" x14ac:dyDescent="0.15">
      <c r="T312" s="6">
        <v>1.85614458E+16</v>
      </c>
      <c r="U312" t="str">
        <f t="shared" si="86"/>
        <v>18561445800000000</v>
      </c>
      <c r="V312">
        <f t="shared" si="87"/>
        <v>1.85614458E+16</v>
      </c>
    </row>
    <row r="313" spans="20:22" x14ac:dyDescent="0.15">
      <c r="T313" s="6">
        <v>6221943919999990</v>
      </c>
      <c r="U313" t="str">
        <f t="shared" si="86"/>
        <v>6221943919999990</v>
      </c>
      <c r="V313">
        <f t="shared" si="87"/>
        <v>6221943919999990</v>
      </c>
    </row>
    <row r="314" spans="20:22" x14ac:dyDescent="0.15">
      <c r="T314" s="6">
        <v>1.09897756299999E+16</v>
      </c>
      <c r="U314" t="str">
        <f t="shared" si="86"/>
        <v>10989775629999900</v>
      </c>
      <c r="V314">
        <f t="shared" si="87"/>
        <v>1.09897756299999E+16</v>
      </c>
    </row>
    <row r="315" spans="20:22" x14ac:dyDescent="0.15">
      <c r="T315" s="6">
        <v>4684924210000000</v>
      </c>
      <c r="U315" t="str">
        <f t="shared" si="86"/>
        <v>4684924210000000</v>
      </c>
      <c r="V315">
        <f t="shared" si="87"/>
        <v>4684924210000000</v>
      </c>
    </row>
    <row r="316" spans="20:22" x14ac:dyDescent="0.15">
      <c r="T316" s="6">
        <v>2.90312519E+16</v>
      </c>
      <c r="U316" t="str">
        <f t="shared" si="86"/>
        <v>29031251900000000</v>
      </c>
      <c r="V316">
        <f t="shared" si="87"/>
        <v>2.90312519E+16</v>
      </c>
    </row>
    <row r="317" spans="20:22" x14ac:dyDescent="0.15">
      <c r="T317" s="6" t="s">
        <v>640</v>
      </c>
      <c r="U317" t="str">
        <f t="shared" si="86"/>
        <v>8055894,07</v>
      </c>
      <c r="V317">
        <f t="shared" si="87"/>
        <v>8055894.0700000003</v>
      </c>
    </row>
    <row r="318" spans="20:22" x14ac:dyDescent="0.15">
      <c r="T318" s="6">
        <v>1.33834132999999E+16</v>
      </c>
      <c r="U318" t="str">
        <f t="shared" si="86"/>
        <v>13383413299999900</v>
      </c>
      <c r="V318">
        <f t="shared" si="87"/>
        <v>1.33834132999999E+16</v>
      </c>
    </row>
    <row r="319" spans="20:22" x14ac:dyDescent="0.15">
      <c r="T319" s="6">
        <v>2.54054144899999E+16</v>
      </c>
      <c r="U319" t="str">
        <f t="shared" si="86"/>
        <v>25405414489999900</v>
      </c>
      <c r="V319">
        <f t="shared" si="87"/>
        <v>2.54054144899999E+16</v>
      </c>
    </row>
    <row r="320" spans="20:22" x14ac:dyDescent="0.15">
      <c r="T320" s="6" t="s">
        <v>694</v>
      </c>
      <c r="U320" t="str">
        <f t="shared" si="86"/>
        <v>5096405,15</v>
      </c>
      <c r="V320">
        <f t="shared" si="87"/>
        <v>5096405.1500000004</v>
      </c>
    </row>
    <row r="321" spans="20:22" x14ac:dyDescent="0.15">
      <c r="T321" s="6">
        <v>3.98180832E+16</v>
      </c>
      <c r="U321" t="str">
        <f t="shared" si="86"/>
        <v>39818083200000000</v>
      </c>
      <c r="V321">
        <f t="shared" si="87"/>
        <v>3.98180832E+16</v>
      </c>
    </row>
    <row r="322" spans="20:22" x14ac:dyDescent="0.15">
      <c r="T322" s="6" t="s">
        <v>153</v>
      </c>
      <c r="U322" t="str">
        <f t="shared" si="86"/>
        <v>2518485,3</v>
      </c>
      <c r="V322">
        <f t="shared" si="87"/>
        <v>2518485.2999999998</v>
      </c>
    </row>
    <row r="323" spans="20:22" x14ac:dyDescent="0.15">
      <c r="T323" s="6">
        <v>3.9937289699999904E+16</v>
      </c>
      <c r="U323" t="str">
        <f t="shared" ref="U323:U386" si="88">SUBSTITUTE(T323,".",",")</f>
        <v>39937289699999900</v>
      </c>
      <c r="V323">
        <f t="shared" ref="V323:V386" si="89">_xlfn.NUMBERVALUE(U323)</f>
        <v>3.9937289699999904E+16</v>
      </c>
    </row>
    <row r="324" spans="20:22" x14ac:dyDescent="0.15">
      <c r="T324" s="6" t="s">
        <v>190</v>
      </c>
      <c r="U324" t="str">
        <f t="shared" si="88"/>
        <v>429787,45</v>
      </c>
      <c r="V324">
        <f t="shared" si="89"/>
        <v>429787.45</v>
      </c>
    </row>
    <row r="325" spans="20:22" x14ac:dyDescent="0.15">
      <c r="T325" s="6" t="s">
        <v>208</v>
      </c>
      <c r="U325" t="str">
        <f t="shared" si="88"/>
        <v>858601,26</v>
      </c>
      <c r="V325">
        <f t="shared" si="89"/>
        <v>858601.26</v>
      </c>
    </row>
    <row r="326" spans="20:22" x14ac:dyDescent="0.15">
      <c r="T326" s="6">
        <v>5317590529999990</v>
      </c>
      <c r="U326" t="str">
        <f t="shared" si="88"/>
        <v>5317590529999990</v>
      </c>
      <c r="V326">
        <f t="shared" si="89"/>
        <v>5317590529999990</v>
      </c>
    </row>
    <row r="327" spans="20:22" x14ac:dyDescent="0.15">
      <c r="T327" s="6" t="s">
        <v>245</v>
      </c>
      <c r="U327" t="str">
        <f t="shared" si="88"/>
        <v>3211216,55</v>
      </c>
      <c r="V327">
        <f t="shared" si="89"/>
        <v>3211216.55</v>
      </c>
    </row>
    <row r="328" spans="20:22" x14ac:dyDescent="0.15">
      <c r="T328" s="6">
        <v>1.252731219E+16</v>
      </c>
      <c r="U328" t="str">
        <f t="shared" si="88"/>
        <v>12527312190000000</v>
      </c>
      <c r="V328">
        <f t="shared" si="89"/>
        <v>1.252731219E+16</v>
      </c>
    </row>
    <row r="329" spans="20:22" x14ac:dyDescent="0.15">
      <c r="T329" s="6">
        <v>5981083589999990</v>
      </c>
      <c r="U329" t="str">
        <f t="shared" si="88"/>
        <v>5981083589999990</v>
      </c>
      <c r="V329">
        <f t="shared" si="89"/>
        <v>5981083589999990</v>
      </c>
    </row>
    <row r="330" spans="20:22" x14ac:dyDescent="0.15">
      <c r="T330" s="6">
        <v>3748025899999990</v>
      </c>
      <c r="U330" t="str">
        <f t="shared" si="88"/>
        <v>3748025899999990</v>
      </c>
      <c r="V330">
        <f t="shared" si="89"/>
        <v>3748025899999990</v>
      </c>
    </row>
    <row r="331" spans="20:22" x14ac:dyDescent="0.15">
      <c r="T331" s="6">
        <v>7091715529999990</v>
      </c>
      <c r="U331" t="str">
        <f t="shared" si="88"/>
        <v>7091715529999990</v>
      </c>
      <c r="V331">
        <f t="shared" si="89"/>
        <v>7091715529999990</v>
      </c>
    </row>
    <row r="332" spans="20:22" x14ac:dyDescent="0.15">
      <c r="T332" s="6" t="s">
        <v>336</v>
      </c>
      <c r="U332" t="str">
        <f t="shared" si="88"/>
        <v>8226710,19</v>
      </c>
      <c r="V332">
        <f t="shared" si="89"/>
        <v>8226710.1900000004</v>
      </c>
    </row>
    <row r="333" spans="20:22" x14ac:dyDescent="0.15">
      <c r="T333" s="6">
        <v>4505812440000000</v>
      </c>
      <c r="U333" t="str">
        <f t="shared" si="88"/>
        <v>4505812440000000</v>
      </c>
      <c r="V333">
        <f t="shared" si="89"/>
        <v>4505812440000000</v>
      </c>
    </row>
    <row r="334" spans="20:22" x14ac:dyDescent="0.15">
      <c r="T334" s="6">
        <v>7003302550000000</v>
      </c>
      <c r="U334" t="str">
        <f t="shared" si="88"/>
        <v>7003302550000000</v>
      </c>
      <c r="V334">
        <f t="shared" si="89"/>
        <v>7003302550000000</v>
      </c>
    </row>
    <row r="335" spans="20:22" x14ac:dyDescent="0.15">
      <c r="T335" s="6">
        <v>2289753426000000</v>
      </c>
      <c r="U335" t="str">
        <f t="shared" si="88"/>
        <v>2289753426000000</v>
      </c>
      <c r="V335">
        <f t="shared" si="89"/>
        <v>2289753426000000</v>
      </c>
    </row>
    <row r="336" spans="20:22" x14ac:dyDescent="0.15">
      <c r="T336" s="6">
        <v>8630832220000000</v>
      </c>
      <c r="U336" t="str">
        <f t="shared" si="88"/>
        <v>8630832220000000</v>
      </c>
      <c r="V336">
        <f t="shared" si="89"/>
        <v>8630832220000000</v>
      </c>
    </row>
    <row r="337" spans="20:22" x14ac:dyDescent="0.15">
      <c r="T337" s="6">
        <v>8879598310000010</v>
      </c>
      <c r="U337" t="str">
        <f t="shared" si="88"/>
        <v>8879598310000010</v>
      </c>
      <c r="V337">
        <f t="shared" si="89"/>
        <v>8879598310000010</v>
      </c>
    </row>
    <row r="338" spans="20:22" x14ac:dyDescent="0.15">
      <c r="T338" s="6" t="s">
        <v>444</v>
      </c>
      <c r="U338" t="str">
        <f t="shared" si="88"/>
        <v>3179028,71</v>
      </c>
      <c r="V338">
        <f t="shared" si="89"/>
        <v>3179028.71</v>
      </c>
    </row>
    <row r="339" spans="20:22" x14ac:dyDescent="0.15">
      <c r="T339" s="6" t="s">
        <v>462</v>
      </c>
      <c r="U339" t="str">
        <f t="shared" si="88"/>
        <v>5012711,1</v>
      </c>
      <c r="V339">
        <f t="shared" si="89"/>
        <v>5012711.0999999996</v>
      </c>
    </row>
    <row r="340" spans="20:22" x14ac:dyDescent="0.15">
      <c r="T340" s="6">
        <v>2826870449999990</v>
      </c>
      <c r="U340" t="str">
        <f t="shared" si="88"/>
        <v>2826870449999990</v>
      </c>
      <c r="V340">
        <f t="shared" si="89"/>
        <v>2826870449999990</v>
      </c>
    </row>
    <row r="341" spans="20:22" x14ac:dyDescent="0.15">
      <c r="T341" s="6" t="s">
        <v>499</v>
      </c>
      <c r="U341" t="str">
        <f t="shared" si="88"/>
        <v>13662122,3</v>
      </c>
      <c r="V341">
        <f t="shared" si="89"/>
        <v>13662122.300000001</v>
      </c>
    </row>
    <row r="342" spans="20:22" x14ac:dyDescent="0.15">
      <c r="T342" s="6">
        <v>5.5138442299999904E+16</v>
      </c>
      <c r="U342" t="str">
        <f t="shared" si="88"/>
        <v>55138442299999900</v>
      </c>
      <c r="V342">
        <f t="shared" si="89"/>
        <v>5.5138442299999904E+16</v>
      </c>
    </row>
    <row r="343" spans="20:22" x14ac:dyDescent="0.15">
      <c r="T343" s="6" t="s">
        <v>535</v>
      </c>
      <c r="U343" t="str">
        <f t="shared" si="88"/>
        <v>1248778,48</v>
      </c>
      <c r="V343">
        <f t="shared" si="89"/>
        <v>1248778.48</v>
      </c>
    </row>
    <row r="344" spans="20:22" x14ac:dyDescent="0.15">
      <c r="T344" s="6">
        <v>1.85614458E+16</v>
      </c>
      <c r="U344" t="str">
        <f t="shared" si="88"/>
        <v>18561445800000000</v>
      </c>
      <c r="V344">
        <f t="shared" si="89"/>
        <v>1.85614458E+16</v>
      </c>
    </row>
    <row r="345" spans="20:22" x14ac:dyDescent="0.15">
      <c r="T345" s="6">
        <v>6221943919999990</v>
      </c>
      <c r="U345" t="str">
        <f t="shared" si="88"/>
        <v>6221943919999990</v>
      </c>
      <c r="V345">
        <f t="shared" si="89"/>
        <v>6221943919999990</v>
      </c>
    </row>
    <row r="346" spans="20:22" x14ac:dyDescent="0.15">
      <c r="T346" s="6">
        <v>1.09897756299999E+16</v>
      </c>
      <c r="U346" t="str">
        <f t="shared" si="88"/>
        <v>10989775629999900</v>
      </c>
      <c r="V346">
        <f t="shared" si="89"/>
        <v>1.09897756299999E+16</v>
      </c>
    </row>
    <row r="347" spans="20:22" x14ac:dyDescent="0.15">
      <c r="T347" s="6">
        <v>4684924210000000</v>
      </c>
      <c r="U347" t="str">
        <f t="shared" si="88"/>
        <v>4684924210000000</v>
      </c>
      <c r="V347">
        <f t="shared" si="89"/>
        <v>4684924210000000</v>
      </c>
    </row>
    <row r="348" spans="20:22" x14ac:dyDescent="0.15">
      <c r="T348" s="6">
        <v>2.90312519E+16</v>
      </c>
      <c r="U348" t="str">
        <f t="shared" si="88"/>
        <v>29031251900000000</v>
      </c>
      <c r="V348">
        <f t="shared" si="89"/>
        <v>2.90312519E+16</v>
      </c>
    </row>
    <row r="349" spans="20:22" x14ac:dyDescent="0.15">
      <c r="T349" s="6" t="s">
        <v>640</v>
      </c>
      <c r="U349" t="str">
        <f t="shared" si="88"/>
        <v>8055894,07</v>
      </c>
      <c r="V349">
        <f t="shared" si="89"/>
        <v>8055894.0700000003</v>
      </c>
    </row>
    <row r="350" spans="20:22" x14ac:dyDescent="0.15">
      <c r="T350" s="6">
        <v>1.33834132999999E+16</v>
      </c>
      <c r="U350" t="str">
        <f t="shared" si="88"/>
        <v>13383413299999900</v>
      </c>
      <c r="V350">
        <f t="shared" si="89"/>
        <v>1.33834132999999E+16</v>
      </c>
    </row>
    <row r="351" spans="20:22" x14ac:dyDescent="0.15">
      <c r="T351" s="6">
        <v>2.54054144899999E+16</v>
      </c>
      <c r="U351" t="str">
        <f t="shared" si="88"/>
        <v>25405414489999900</v>
      </c>
      <c r="V351">
        <f t="shared" si="89"/>
        <v>2.54054144899999E+16</v>
      </c>
    </row>
    <row r="352" spans="20:22" x14ac:dyDescent="0.15">
      <c r="T352" s="6" t="s">
        <v>694</v>
      </c>
      <c r="U352" t="str">
        <f t="shared" si="88"/>
        <v>5096405,15</v>
      </c>
      <c r="V352">
        <f t="shared" si="89"/>
        <v>5096405.1500000004</v>
      </c>
    </row>
    <row r="353" spans="20:23" x14ac:dyDescent="0.15">
      <c r="T353" s="6">
        <v>3.98180832E+16</v>
      </c>
      <c r="U353" t="str">
        <f t="shared" si="88"/>
        <v>39818083200000000</v>
      </c>
      <c r="V353">
        <f t="shared" si="89"/>
        <v>3.98180832E+16</v>
      </c>
    </row>
    <row r="354" spans="20:23" x14ac:dyDescent="0.15">
      <c r="T354" s="6" t="s">
        <v>153</v>
      </c>
      <c r="U354" t="str">
        <f t="shared" si="88"/>
        <v>2518485,3</v>
      </c>
      <c r="V354">
        <f t="shared" si="89"/>
        <v>2518485.2999999998</v>
      </c>
    </row>
    <row r="355" spans="20:23" x14ac:dyDescent="0.15">
      <c r="T355" s="6">
        <v>3.9937289699999904E+16</v>
      </c>
      <c r="U355" t="str">
        <f t="shared" si="88"/>
        <v>39937289699999900</v>
      </c>
      <c r="V355">
        <f t="shared" si="89"/>
        <v>3.9937289699999904E+16</v>
      </c>
    </row>
    <row r="356" spans="20:23" x14ac:dyDescent="0.15">
      <c r="T356" s="6" t="s">
        <v>190</v>
      </c>
      <c r="U356" t="str">
        <f t="shared" si="88"/>
        <v>429787,45</v>
      </c>
      <c r="V356">
        <f t="shared" si="89"/>
        <v>429787.45</v>
      </c>
    </row>
    <row r="357" spans="20:23" x14ac:dyDescent="0.15">
      <c r="T357" s="6" t="s">
        <v>208</v>
      </c>
      <c r="U357" t="str">
        <f t="shared" si="88"/>
        <v>858601,26</v>
      </c>
      <c r="V357">
        <f t="shared" si="89"/>
        <v>858601.26</v>
      </c>
    </row>
    <row r="358" spans="20:23" x14ac:dyDescent="0.15">
      <c r="T358" s="6">
        <v>5317590529999990</v>
      </c>
      <c r="U358" t="str">
        <f t="shared" si="88"/>
        <v>5317590529999990</v>
      </c>
      <c r="V358">
        <f t="shared" si="89"/>
        <v>5317590529999990</v>
      </c>
    </row>
    <row r="359" spans="20:23" x14ac:dyDescent="0.15">
      <c r="T359" s="6" t="s">
        <v>245</v>
      </c>
      <c r="U359" t="str">
        <f t="shared" si="88"/>
        <v>3211216,55</v>
      </c>
      <c r="V359">
        <f t="shared" si="89"/>
        <v>3211216.55</v>
      </c>
    </row>
    <row r="360" spans="20:23" x14ac:dyDescent="0.15">
      <c r="T360" s="6">
        <v>1.252731219E+16</v>
      </c>
      <c r="U360" t="str">
        <f t="shared" si="88"/>
        <v>12527312190000000</v>
      </c>
      <c r="V360">
        <f t="shared" si="89"/>
        <v>1.252731219E+16</v>
      </c>
    </row>
    <row r="361" spans="20:23" x14ac:dyDescent="0.15">
      <c r="T361" s="6">
        <v>5981083589999990</v>
      </c>
      <c r="U361" t="str">
        <f t="shared" si="88"/>
        <v>5981083589999990</v>
      </c>
      <c r="V361">
        <f t="shared" si="89"/>
        <v>5981083589999990</v>
      </c>
    </row>
    <row r="362" spans="20:23" x14ac:dyDescent="0.15">
      <c r="T362" s="6">
        <v>3748025899999990</v>
      </c>
      <c r="U362" t="str">
        <f t="shared" si="88"/>
        <v>3748025899999990</v>
      </c>
      <c r="V362">
        <f t="shared" si="89"/>
        <v>3748025899999990</v>
      </c>
    </row>
    <row r="363" spans="20:23" x14ac:dyDescent="0.15">
      <c r="T363" s="6">
        <v>7091715529999990</v>
      </c>
      <c r="U363" t="str">
        <f t="shared" si="88"/>
        <v>7091715529999990</v>
      </c>
      <c r="V363">
        <f t="shared" si="89"/>
        <v>7091715529999990</v>
      </c>
    </row>
    <row r="364" spans="20:23" x14ac:dyDescent="0.15">
      <c r="T364" s="6" t="s">
        <v>336</v>
      </c>
      <c r="U364" t="str">
        <f t="shared" si="88"/>
        <v>8226710,19</v>
      </c>
      <c r="V364">
        <f t="shared" si="89"/>
        <v>8226710.1900000004</v>
      </c>
    </row>
    <row r="365" spans="20:23" x14ac:dyDescent="0.15">
      <c r="T365" s="6">
        <v>4505812440000000</v>
      </c>
      <c r="U365" t="str">
        <f t="shared" si="88"/>
        <v>4505812440000000</v>
      </c>
      <c r="V365">
        <f t="shared" si="89"/>
        <v>4505812440000000</v>
      </c>
    </row>
    <row r="366" spans="20:23" x14ac:dyDescent="0.15">
      <c r="T366" s="6">
        <v>7003302550000000</v>
      </c>
      <c r="U366" t="str">
        <f t="shared" si="88"/>
        <v>7003302550000000</v>
      </c>
      <c r="V366">
        <f t="shared" si="89"/>
        <v>7003302550000000</v>
      </c>
    </row>
    <row r="367" spans="20:23" x14ac:dyDescent="0.15">
      <c r="T367" s="6">
        <v>2289753426000000</v>
      </c>
      <c r="U367" t="str">
        <f t="shared" si="88"/>
        <v>2289753426000000</v>
      </c>
      <c r="V367">
        <f t="shared" si="89"/>
        <v>2289753426000000</v>
      </c>
    </row>
    <row r="368" spans="20:23" x14ac:dyDescent="0.15">
      <c r="T368" s="6">
        <v>8630832220000000</v>
      </c>
      <c r="U368" t="str">
        <f t="shared" si="88"/>
        <v>8630832220000000</v>
      </c>
      <c r="V368">
        <f t="shared" si="89"/>
        <v>8630832220000000</v>
      </c>
      <c r="W368">
        <f>AVERAGE(V2:V367)</f>
        <v>9315865668978290</v>
      </c>
    </row>
    <row r="369" spans="20:22" x14ac:dyDescent="0.15">
      <c r="T369" s="6">
        <v>8879598310000010</v>
      </c>
      <c r="U369" t="str">
        <f t="shared" si="88"/>
        <v>8879598310000010</v>
      </c>
      <c r="V369">
        <f t="shared" si="89"/>
        <v>8879598310000010</v>
      </c>
    </row>
    <row r="370" spans="20:22" x14ac:dyDescent="0.15">
      <c r="T370" s="6" t="s">
        <v>444</v>
      </c>
      <c r="U370" t="str">
        <f t="shared" si="88"/>
        <v>3179028,71</v>
      </c>
      <c r="V370">
        <f t="shared" si="89"/>
        <v>3179028.71</v>
      </c>
    </row>
    <row r="371" spans="20:22" x14ac:dyDescent="0.15">
      <c r="T371" s="6" t="s">
        <v>462</v>
      </c>
      <c r="U371" t="str">
        <f t="shared" si="88"/>
        <v>5012711,1</v>
      </c>
      <c r="V371">
        <f t="shared" si="89"/>
        <v>5012711.0999999996</v>
      </c>
    </row>
    <row r="372" spans="20:22" x14ac:dyDescent="0.15">
      <c r="T372" s="6">
        <v>2826870449999990</v>
      </c>
      <c r="U372" t="str">
        <f t="shared" si="88"/>
        <v>2826870449999990</v>
      </c>
      <c r="V372">
        <f t="shared" si="89"/>
        <v>2826870449999990</v>
      </c>
    </row>
    <row r="373" spans="20:22" x14ac:dyDescent="0.15">
      <c r="T373" s="6" t="s">
        <v>499</v>
      </c>
      <c r="U373" t="str">
        <f t="shared" si="88"/>
        <v>13662122,3</v>
      </c>
      <c r="V373">
        <f t="shared" si="89"/>
        <v>13662122.300000001</v>
      </c>
    </row>
    <row r="374" spans="20:22" x14ac:dyDescent="0.15">
      <c r="T374" s="6">
        <v>5.5138442299999904E+16</v>
      </c>
      <c r="U374" t="str">
        <f t="shared" si="88"/>
        <v>55138442299999900</v>
      </c>
      <c r="V374">
        <f t="shared" si="89"/>
        <v>5.5138442299999904E+16</v>
      </c>
    </row>
    <row r="375" spans="20:22" x14ac:dyDescent="0.15">
      <c r="T375" s="6" t="s">
        <v>535</v>
      </c>
      <c r="U375" t="str">
        <f t="shared" si="88"/>
        <v>1248778,48</v>
      </c>
      <c r="V375">
        <f t="shared" si="89"/>
        <v>1248778.48</v>
      </c>
    </row>
    <row r="376" spans="20:22" x14ac:dyDescent="0.15">
      <c r="T376" s="6">
        <v>1.85614458E+16</v>
      </c>
      <c r="U376" t="str">
        <f t="shared" si="88"/>
        <v>18561445800000000</v>
      </c>
      <c r="V376">
        <f t="shared" si="89"/>
        <v>1.85614458E+16</v>
      </c>
    </row>
    <row r="377" spans="20:22" x14ac:dyDescent="0.15">
      <c r="T377" s="6">
        <v>6221943919999990</v>
      </c>
      <c r="U377" t="str">
        <f t="shared" si="88"/>
        <v>6221943919999990</v>
      </c>
      <c r="V377">
        <f t="shared" si="89"/>
        <v>6221943919999990</v>
      </c>
    </row>
    <row r="378" spans="20:22" x14ac:dyDescent="0.15">
      <c r="T378" s="6">
        <v>1.09897756299999E+16</v>
      </c>
      <c r="U378" t="str">
        <f t="shared" si="88"/>
        <v>10989775629999900</v>
      </c>
      <c r="V378">
        <f t="shared" si="89"/>
        <v>1.09897756299999E+16</v>
      </c>
    </row>
    <row r="379" spans="20:22" x14ac:dyDescent="0.15">
      <c r="T379" s="6">
        <v>4684924210000000</v>
      </c>
      <c r="U379" t="str">
        <f t="shared" si="88"/>
        <v>4684924210000000</v>
      </c>
      <c r="V379">
        <f t="shared" si="89"/>
        <v>4684924210000000</v>
      </c>
    </row>
    <row r="380" spans="20:22" x14ac:dyDescent="0.15">
      <c r="T380" s="6">
        <v>2.90312519E+16</v>
      </c>
      <c r="U380" t="str">
        <f t="shared" si="88"/>
        <v>29031251900000000</v>
      </c>
      <c r="V380">
        <f t="shared" si="89"/>
        <v>2.90312519E+16</v>
      </c>
    </row>
    <row r="381" spans="20:22" x14ac:dyDescent="0.15">
      <c r="T381" s="6" t="s">
        <v>640</v>
      </c>
      <c r="U381" t="str">
        <f t="shared" si="88"/>
        <v>8055894,07</v>
      </c>
      <c r="V381">
        <f t="shared" si="89"/>
        <v>8055894.0700000003</v>
      </c>
    </row>
    <row r="382" spans="20:22" x14ac:dyDescent="0.15">
      <c r="T382" s="6">
        <v>1.33834132999999E+16</v>
      </c>
      <c r="U382" t="str">
        <f t="shared" si="88"/>
        <v>13383413299999900</v>
      </c>
      <c r="V382">
        <f t="shared" si="89"/>
        <v>1.33834132999999E+16</v>
      </c>
    </row>
    <row r="383" spans="20:22" x14ac:dyDescent="0.15">
      <c r="T383" s="6">
        <v>2.54054144899999E+16</v>
      </c>
      <c r="U383" t="str">
        <f t="shared" si="88"/>
        <v>25405414489999900</v>
      </c>
      <c r="V383">
        <f t="shared" si="89"/>
        <v>2.54054144899999E+16</v>
      </c>
    </row>
    <row r="384" spans="20:22" x14ac:dyDescent="0.15">
      <c r="T384" s="6" t="s">
        <v>694</v>
      </c>
      <c r="U384" t="str">
        <f t="shared" si="88"/>
        <v>5096405,15</v>
      </c>
      <c r="V384">
        <f t="shared" si="89"/>
        <v>5096405.1500000004</v>
      </c>
    </row>
    <row r="385" spans="20:22" x14ac:dyDescent="0.15">
      <c r="T385" s="6">
        <v>3.98180832E+16</v>
      </c>
      <c r="U385" t="str">
        <f t="shared" si="88"/>
        <v>39818083200000000</v>
      </c>
      <c r="V385">
        <f t="shared" si="89"/>
        <v>3.98180832E+16</v>
      </c>
    </row>
    <row r="386" spans="20:22" x14ac:dyDescent="0.15">
      <c r="T386" s="6" t="s">
        <v>153</v>
      </c>
      <c r="U386" t="str">
        <f t="shared" si="88"/>
        <v>2518485,3</v>
      </c>
      <c r="V386">
        <f t="shared" si="89"/>
        <v>2518485.2999999998</v>
      </c>
    </row>
    <row r="387" spans="20:22" x14ac:dyDescent="0.15">
      <c r="T387" s="6">
        <v>3.9937289699999904E+16</v>
      </c>
      <c r="U387" t="str">
        <f t="shared" ref="U387:U450" si="90">SUBSTITUTE(T387,".",",")</f>
        <v>39937289699999900</v>
      </c>
      <c r="V387">
        <f t="shared" ref="V387:V450" si="91">_xlfn.NUMBERVALUE(U387)</f>
        <v>3.9937289699999904E+16</v>
      </c>
    </row>
    <row r="388" spans="20:22" x14ac:dyDescent="0.15">
      <c r="T388" s="6" t="s">
        <v>190</v>
      </c>
      <c r="U388" t="str">
        <f t="shared" si="90"/>
        <v>429787,45</v>
      </c>
      <c r="V388">
        <f t="shared" si="91"/>
        <v>429787.45</v>
      </c>
    </row>
    <row r="389" spans="20:22" x14ac:dyDescent="0.15">
      <c r="T389" s="6" t="s">
        <v>208</v>
      </c>
      <c r="U389" t="str">
        <f t="shared" si="90"/>
        <v>858601,26</v>
      </c>
      <c r="V389">
        <f t="shared" si="91"/>
        <v>858601.26</v>
      </c>
    </row>
    <row r="390" spans="20:22" x14ac:dyDescent="0.15">
      <c r="T390" s="6">
        <v>5317590529999990</v>
      </c>
      <c r="U390" t="str">
        <f t="shared" si="90"/>
        <v>5317590529999990</v>
      </c>
      <c r="V390">
        <f t="shared" si="91"/>
        <v>5317590529999990</v>
      </c>
    </row>
    <row r="391" spans="20:22" x14ac:dyDescent="0.15">
      <c r="T391" s="6" t="s">
        <v>245</v>
      </c>
      <c r="U391" t="str">
        <f t="shared" si="90"/>
        <v>3211216,55</v>
      </c>
      <c r="V391">
        <f t="shared" si="91"/>
        <v>3211216.55</v>
      </c>
    </row>
    <row r="392" spans="20:22" x14ac:dyDescent="0.15">
      <c r="T392" s="6">
        <v>1.252731219E+16</v>
      </c>
      <c r="U392" t="str">
        <f t="shared" si="90"/>
        <v>12527312190000000</v>
      </c>
      <c r="V392">
        <f t="shared" si="91"/>
        <v>1.252731219E+16</v>
      </c>
    </row>
    <row r="393" spans="20:22" x14ac:dyDescent="0.15">
      <c r="T393" s="6">
        <v>5981083589999990</v>
      </c>
      <c r="U393" t="str">
        <f t="shared" si="90"/>
        <v>5981083589999990</v>
      </c>
      <c r="V393">
        <f t="shared" si="91"/>
        <v>5981083589999990</v>
      </c>
    </row>
    <row r="394" spans="20:22" x14ac:dyDescent="0.15">
      <c r="T394" s="6">
        <v>3748025899999990</v>
      </c>
      <c r="U394" t="str">
        <f t="shared" si="90"/>
        <v>3748025899999990</v>
      </c>
      <c r="V394">
        <f t="shared" si="91"/>
        <v>3748025899999990</v>
      </c>
    </row>
    <row r="395" spans="20:22" x14ac:dyDescent="0.15">
      <c r="T395" s="6">
        <v>7091715529999990</v>
      </c>
      <c r="U395" t="str">
        <f t="shared" si="90"/>
        <v>7091715529999990</v>
      </c>
      <c r="V395">
        <f t="shared" si="91"/>
        <v>7091715529999990</v>
      </c>
    </row>
    <row r="396" spans="20:22" x14ac:dyDescent="0.15">
      <c r="T396" s="6" t="s">
        <v>336</v>
      </c>
      <c r="U396" t="str">
        <f t="shared" si="90"/>
        <v>8226710,19</v>
      </c>
      <c r="V396">
        <f t="shared" si="91"/>
        <v>8226710.1900000004</v>
      </c>
    </row>
    <row r="397" spans="20:22" x14ac:dyDescent="0.15">
      <c r="T397" s="6">
        <v>4505812440000000</v>
      </c>
      <c r="U397" t="str">
        <f t="shared" si="90"/>
        <v>4505812440000000</v>
      </c>
      <c r="V397">
        <f t="shared" si="91"/>
        <v>4505812440000000</v>
      </c>
    </row>
    <row r="398" spans="20:22" x14ac:dyDescent="0.15">
      <c r="T398" s="6">
        <v>7003302550000000</v>
      </c>
      <c r="U398" t="str">
        <f t="shared" si="90"/>
        <v>7003302550000000</v>
      </c>
      <c r="V398">
        <f t="shared" si="91"/>
        <v>7003302550000000</v>
      </c>
    </row>
    <row r="399" spans="20:22" x14ac:dyDescent="0.15">
      <c r="T399" s="6">
        <v>2289753426000000</v>
      </c>
      <c r="U399" t="str">
        <f t="shared" si="90"/>
        <v>2289753426000000</v>
      </c>
      <c r="V399">
        <f t="shared" si="91"/>
        <v>2289753426000000</v>
      </c>
    </row>
    <row r="400" spans="20:22" x14ac:dyDescent="0.15">
      <c r="T400" s="6">
        <v>8630832220000000</v>
      </c>
      <c r="U400" t="str">
        <f t="shared" si="90"/>
        <v>8630832220000000</v>
      </c>
      <c r="V400">
        <f t="shared" si="91"/>
        <v>8630832220000000</v>
      </c>
    </row>
    <row r="401" spans="20:22" x14ac:dyDescent="0.15">
      <c r="T401" s="6">
        <v>8879598310000010</v>
      </c>
      <c r="U401" t="str">
        <f t="shared" si="90"/>
        <v>8879598310000010</v>
      </c>
      <c r="V401">
        <f t="shared" si="91"/>
        <v>8879598310000010</v>
      </c>
    </row>
    <row r="402" spans="20:22" x14ac:dyDescent="0.15">
      <c r="T402" s="6" t="s">
        <v>444</v>
      </c>
      <c r="U402" t="str">
        <f t="shared" si="90"/>
        <v>3179028,71</v>
      </c>
      <c r="V402">
        <f t="shared" si="91"/>
        <v>3179028.71</v>
      </c>
    </row>
    <row r="403" spans="20:22" x14ac:dyDescent="0.15">
      <c r="T403" s="6" t="s">
        <v>462</v>
      </c>
      <c r="U403" t="str">
        <f t="shared" si="90"/>
        <v>5012711,1</v>
      </c>
      <c r="V403">
        <f t="shared" si="91"/>
        <v>5012711.0999999996</v>
      </c>
    </row>
    <row r="404" spans="20:22" x14ac:dyDescent="0.15">
      <c r="T404" s="6">
        <v>2826870449999990</v>
      </c>
      <c r="U404" t="str">
        <f t="shared" si="90"/>
        <v>2826870449999990</v>
      </c>
      <c r="V404">
        <f t="shared" si="91"/>
        <v>2826870449999990</v>
      </c>
    </row>
    <row r="405" spans="20:22" x14ac:dyDescent="0.15">
      <c r="T405" s="6" t="s">
        <v>499</v>
      </c>
      <c r="U405" t="str">
        <f t="shared" si="90"/>
        <v>13662122,3</v>
      </c>
      <c r="V405">
        <f t="shared" si="91"/>
        <v>13662122.300000001</v>
      </c>
    </row>
    <row r="406" spans="20:22" x14ac:dyDescent="0.15">
      <c r="T406" s="6">
        <v>5.5138442299999904E+16</v>
      </c>
      <c r="U406" t="str">
        <f t="shared" si="90"/>
        <v>55138442299999900</v>
      </c>
      <c r="V406">
        <f t="shared" si="91"/>
        <v>5.5138442299999904E+16</v>
      </c>
    </row>
    <row r="407" spans="20:22" x14ac:dyDescent="0.15">
      <c r="T407" s="6" t="s">
        <v>535</v>
      </c>
      <c r="U407" t="str">
        <f t="shared" si="90"/>
        <v>1248778,48</v>
      </c>
      <c r="V407">
        <f t="shared" si="91"/>
        <v>1248778.48</v>
      </c>
    </row>
    <row r="408" spans="20:22" x14ac:dyDescent="0.15">
      <c r="T408" s="6">
        <v>1.85614458E+16</v>
      </c>
      <c r="U408" t="str">
        <f t="shared" si="90"/>
        <v>18561445800000000</v>
      </c>
      <c r="V408">
        <f t="shared" si="91"/>
        <v>1.85614458E+16</v>
      </c>
    </row>
    <row r="409" spans="20:22" x14ac:dyDescent="0.15">
      <c r="T409" s="6">
        <v>6221943919999990</v>
      </c>
      <c r="U409" t="str">
        <f t="shared" si="90"/>
        <v>6221943919999990</v>
      </c>
      <c r="V409">
        <f t="shared" si="91"/>
        <v>6221943919999990</v>
      </c>
    </row>
    <row r="410" spans="20:22" x14ac:dyDescent="0.15">
      <c r="T410" s="6">
        <v>1.09897756299999E+16</v>
      </c>
      <c r="U410" t="str">
        <f t="shared" si="90"/>
        <v>10989775629999900</v>
      </c>
      <c r="V410">
        <f t="shared" si="91"/>
        <v>1.09897756299999E+16</v>
      </c>
    </row>
    <row r="411" spans="20:22" x14ac:dyDescent="0.15">
      <c r="T411" s="6">
        <v>4684924210000000</v>
      </c>
      <c r="U411" t="str">
        <f t="shared" si="90"/>
        <v>4684924210000000</v>
      </c>
      <c r="V411">
        <f t="shared" si="91"/>
        <v>4684924210000000</v>
      </c>
    </row>
    <row r="412" spans="20:22" x14ac:dyDescent="0.15">
      <c r="T412" s="6">
        <v>2.90312519E+16</v>
      </c>
      <c r="U412" t="str">
        <f t="shared" si="90"/>
        <v>29031251900000000</v>
      </c>
      <c r="V412">
        <f t="shared" si="91"/>
        <v>2.90312519E+16</v>
      </c>
    </row>
    <row r="413" spans="20:22" x14ac:dyDescent="0.15">
      <c r="T413" s="6" t="s">
        <v>640</v>
      </c>
      <c r="U413" t="str">
        <f t="shared" si="90"/>
        <v>8055894,07</v>
      </c>
      <c r="V413">
        <f t="shared" si="91"/>
        <v>8055894.0700000003</v>
      </c>
    </row>
    <row r="414" spans="20:22" x14ac:dyDescent="0.15">
      <c r="T414" s="6">
        <v>1.33834132999999E+16</v>
      </c>
      <c r="U414" t="str">
        <f t="shared" si="90"/>
        <v>13383413299999900</v>
      </c>
      <c r="V414">
        <f t="shared" si="91"/>
        <v>1.33834132999999E+16</v>
      </c>
    </row>
    <row r="415" spans="20:22" x14ac:dyDescent="0.15">
      <c r="T415" s="6">
        <v>2.54054144899999E+16</v>
      </c>
      <c r="U415" t="str">
        <f t="shared" si="90"/>
        <v>25405414489999900</v>
      </c>
      <c r="V415">
        <f t="shared" si="91"/>
        <v>2.54054144899999E+16</v>
      </c>
    </row>
    <row r="416" spans="20:22" x14ac:dyDescent="0.15">
      <c r="T416" s="6" t="s">
        <v>694</v>
      </c>
      <c r="U416" t="str">
        <f t="shared" si="90"/>
        <v>5096405,15</v>
      </c>
      <c r="V416">
        <f t="shared" si="91"/>
        <v>5096405.1500000004</v>
      </c>
    </row>
    <row r="417" spans="20:22" x14ac:dyDescent="0.15">
      <c r="T417" s="6">
        <v>3.98180832E+16</v>
      </c>
      <c r="U417" t="str">
        <f t="shared" si="90"/>
        <v>39818083200000000</v>
      </c>
      <c r="V417">
        <f t="shared" si="91"/>
        <v>3.98180832E+16</v>
      </c>
    </row>
    <row r="418" spans="20:22" x14ac:dyDescent="0.15">
      <c r="T418" s="6" t="s">
        <v>153</v>
      </c>
      <c r="U418" t="str">
        <f t="shared" si="90"/>
        <v>2518485,3</v>
      </c>
      <c r="V418">
        <f t="shared" si="91"/>
        <v>2518485.2999999998</v>
      </c>
    </row>
    <row r="419" spans="20:22" x14ac:dyDescent="0.15">
      <c r="T419" s="6">
        <v>3.9937289699999904E+16</v>
      </c>
      <c r="U419" t="str">
        <f t="shared" si="90"/>
        <v>39937289699999900</v>
      </c>
      <c r="V419">
        <f t="shared" si="91"/>
        <v>3.9937289699999904E+16</v>
      </c>
    </row>
    <row r="420" spans="20:22" x14ac:dyDescent="0.15">
      <c r="T420" s="6" t="s">
        <v>190</v>
      </c>
      <c r="U420" t="str">
        <f t="shared" si="90"/>
        <v>429787,45</v>
      </c>
      <c r="V420">
        <f t="shared" si="91"/>
        <v>429787.45</v>
      </c>
    </row>
    <row r="421" spans="20:22" x14ac:dyDescent="0.15">
      <c r="T421" s="6" t="s">
        <v>208</v>
      </c>
      <c r="U421" t="str">
        <f t="shared" si="90"/>
        <v>858601,26</v>
      </c>
      <c r="V421">
        <f t="shared" si="91"/>
        <v>858601.26</v>
      </c>
    </row>
    <row r="422" spans="20:22" x14ac:dyDescent="0.15">
      <c r="T422" s="6">
        <v>5317590529999990</v>
      </c>
      <c r="U422" t="str">
        <f t="shared" si="90"/>
        <v>5317590529999990</v>
      </c>
      <c r="V422">
        <f t="shared" si="91"/>
        <v>5317590529999990</v>
      </c>
    </row>
    <row r="423" spans="20:22" x14ac:dyDescent="0.15">
      <c r="T423" s="6" t="s">
        <v>245</v>
      </c>
      <c r="U423" t="str">
        <f t="shared" si="90"/>
        <v>3211216,55</v>
      </c>
      <c r="V423">
        <f t="shared" si="91"/>
        <v>3211216.55</v>
      </c>
    </row>
    <row r="424" spans="20:22" x14ac:dyDescent="0.15">
      <c r="T424" s="6">
        <v>1.252731219E+16</v>
      </c>
      <c r="U424" t="str">
        <f t="shared" si="90"/>
        <v>12527312190000000</v>
      </c>
      <c r="V424">
        <f t="shared" si="91"/>
        <v>1.252731219E+16</v>
      </c>
    </row>
    <row r="425" spans="20:22" x14ac:dyDescent="0.15">
      <c r="T425" s="6">
        <v>5981083589999990</v>
      </c>
      <c r="U425" t="str">
        <f t="shared" si="90"/>
        <v>5981083589999990</v>
      </c>
      <c r="V425">
        <f t="shared" si="91"/>
        <v>5981083589999990</v>
      </c>
    </row>
    <row r="426" spans="20:22" x14ac:dyDescent="0.15">
      <c r="T426" s="6">
        <v>3748025899999990</v>
      </c>
      <c r="U426" t="str">
        <f t="shared" si="90"/>
        <v>3748025899999990</v>
      </c>
      <c r="V426">
        <f t="shared" si="91"/>
        <v>3748025899999990</v>
      </c>
    </row>
    <row r="427" spans="20:22" x14ac:dyDescent="0.15">
      <c r="T427" s="6">
        <v>7091715529999990</v>
      </c>
      <c r="U427" t="str">
        <f t="shared" si="90"/>
        <v>7091715529999990</v>
      </c>
      <c r="V427">
        <f t="shared" si="91"/>
        <v>7091715529999990</v>
      </c>
    </row>
    <row r="428" spans="20:22" x14ac:dyDescent="0.15">
      <c r="T428" s="6" t="s">
        <v>336</v>
      </c>
      <c r="U428" t="str">
        <f t="shared" si="90"/>
        <v>8226710,19</v>
      </c>
      <c r="V428">
        <f t="shared" si="91"/>
        <v>8226710.1900000004</v>
      </c>
    </row>
    <row r="429" spans="20:22" x14ac:dyDescent="0.15">
      <c r="T429" s="6">
        <v>4505812440000000</v>
      </c>
      <c r="U429" t="str">
        <f t="shared" si="90"/>
        <v>4505812440000000</v>
      </c>
      <c r="V429">
        <f t="shared" si="91"/>
        <v>4505812440000000</v>
      </c>
    </row>
    <row r="430" spans="20:22" x14ac:dyDescent="0.15">
      <c r="T430" s="6">
        <v>7003302550000000</v>
      </c>
      <c r="U430" t="str">
        <f t="shared" si="90"/>
        <v>7003302550000000</v>
      </c>
      <c r="V430">
        <f t="shared" si="91"/>
        <v>7003302550000000</v>
      </c>
    </row>
    <row r="431" spans="20:22" x14ac:dyDescent="0.15">
      <c r="T431" s="6">
        <v>2289753426000000</v>
      </c>
      <c r="U431" t="str">
        <f t="shared" si="90"/>
        <v>2289753426000000</v>
      </c>
      <c r="V431">
        <f t="shared" si="91"/>
        <v>2289753426000000</v>
      </c>
    </row>
    <row r="432" spans="20:22" x14ac:dyDescent="0.15">
      <c r="T432" s="6">
        <v>8630832220000000</v>
      </c>
      <c r="U432" t="str">
        <f t="shared" si="90"/>
        <v>8630832220000000</v>
      </c>
      <c r="V432">
        <f t="shared" si="91"/>
        <v>8630832220000000</v>
      </c>
    </row>
    <row r="433" spans="20:22" x14ac:dyDescent="0.15">
      <c r="T433" s="6">
        <v>8879598310000010</v>
      </c>
      <c r="U433" t="str">
        <f t="shared" si="90"/>
        <v>8879598310000010</v>
      </c>
      <c r="V433">
        <f t="shared" si="91"/>
        <v>8879598310000010</v>
      </c>
    </row>
    <row r="434" spans="20:22" x14ac:dyDescent="0.15">
      <c r="T434" s="6" t="s">
        <v>444</v>
      </c>
      <c r="U434" t="str">
        <f t="shared" si="90"/>
        <v>3179028,71</v>
      </c>
      <c r="V434">
        <f t="shared" si="91"/>
        <v>3179028.71</v>
      </c>
    </row>
    <row r="435" spans="20:22" x14ac:dyDescent="0.15">
      <c r="T435" s="6" t="s">
        <v>462</v>
      </c>
      <c r="U435" t="str">
        <f t="shared" si="90"/>
        <v>5012711,1</v>
      </c>
      <c r="V435">
        <f t="shared" si="91"/>
        <v>5012711.0999999996</v>
      </c>
    </row>
    <row r="436" spans="20:22" x14ac:dyDescent="0.15">
      <c r="T436" s="6">
        <v>2826870449999990</v>
      </c>
      <c r="U436" t="str">
        <f t="shared" si="90"/>
        <v>2826870449999990</v>
      </c>
      <c r="V436">
        <f t="shared" si="91"/>
        <v>2826870449999990</v>
      </c>
    </row>
    <row r="437" spans="20:22" x14ac:dyDescent="0.15">
      <c r="T437" s="6" t="s">
        <v>499</v>
      </c>
      <c r="U437" t="str">
        <f t="shared" si="90"/>
        <v>13662122,3</v>
      </c>
      <c r="V437">
        <f t="shared" si="91"/>
        <v>13662122.300000001</v>
      </c>
    </row>
    <row r="438" spans="20:22" x14ac:dyDescent="0.15">
      <c r="T438" s="6">
        <v>5.5138442299999904E+16</v>
      </c>
      <c r="U438" t="str">
        <f t="shared" si="90"/>
        <v>55138442299999900</v>
      </c>
      <c r="V438">
        <f t="shared" si="91"/>
        <v>5.5138442299999904E+16</v>
      </c>
    </row>
    <row r="439" spans="20:22" x14ac:dyDescent="0.15">
      <c r="T439" s="6" t="s">
        <v>535</v>
      </c>
      <c r="U439" t="str">
        <f t="shared" si="90"/>
        <v>1248778,48</v>
      </c>
      <c r="V439">
        <f t="shared" si="91"/>
        <v>1248778.48</v>
      </c>
    </row>
    <row r="440" spans="20:22" x14ac:dyDescent="0.15">
      <c r="T440" s="6">
        <v>1.85614458E+16</v>
      </c>
      <c r="U440" t="str">
        <f t="shared" si="90"/>
        <v>18561445800000000</v>
      </c>
      <c r="V440">
        <f t="shared" si="91"/>
        <v>1.85614458E+16</v>
      </c>
    </row>
    <row r="441" spans="20:22" x14ac:dyDescent="0.15">
      <c r="T441" s="6">
        <v>6221943919999990</v>
      </c>
      <c r="U441" t="str">
        <f t="shared" si="90"/>
        <v>6221943919999990</v>
      </c>
      <c r="V441">
        <f t="shared" si="91"/>
        <v>6221943919999990</v>
      </c>
    </row>
    <row r="442" spans="20:22" x14ac:dyDescent="0.15">
      <c r="T442" s="6">
        <v>1.09897756299999E+16</v>
      </c>
      <c r="U442" t="str">
        <f t="shared" si="90"/>
        <v>10989775629999900</v>
      </c>
      <c r="V442">
        <f t="shared" si="91"/>
        <v>1.09897756299999E+16</v>
      </c>
    </row>
    <row r="443" spans="20:22" x14ac:dyDescent="0.15">
      <c r="T443" s="6">
        <v>4684924210000000</v>
      </c>
      <c r="U443" t="str">
        <f t="shared" si="90"/>
        <v>4684924210000000</v>
      </c>
      <c r="V443">
        <f t="shared" si="91"/>
        <v>4684924210000000</v>
      </c>
    </row>
    <row r="444" spans="20:22" x14ac:dyDescent="0.15">
      <c r="T444" s="6">
        <v>2.90312519E+16</v>
      </c>
      <c r="U444" t="str">
        <f t="shared" si="90"/>
        <v>29031251900000000</v>
      </c>
      <c r="V444">
        <f t="shared" si="91"/>
        <v>2.90312519E+16</v>
      </c>
    </row>
    <row r="445" spans="20:22" x14ac:dyDescent="0.15">
      <c r="T445" s="6" t="s">
        <v>640</v>
      </c>
      <c r="U445" t="str">
        <f t="shared" si="90"/>
        <v>8055894,07</v>
      </c>
      <c r="V445">
        <f t="shared" si="91"/>
        <v>8055894.0700000003</v>
      </c>
    </row>
    <row r="446" spans="20:22" x14ac:dyDescent="0.15">
      <c r="T446" s="6">
        <v>1.33834132999999E+16</v>
      </c>
      <c r="U446" t="str">
        <f t="shared" si="90"/>
        <v>13383413299999900</v>
      </c>
      <c r="V446">
        <f t="shared" si="91"/>
        <v>1.33834132999999E+16</v>
      </c>
    </row>
    <row r="447" spans="20:22" x14ac:dyDescent="0.15">
      <c r="T447" s="6">
        <v>2.54054144899999E+16</v>
      </c>
      <c r="U447" t="str">
        <f t="shared" si="90"/>
        <v>25405414489999900</v>
      </c>
      <c r="V447">
        <f t="shared" si="91"/>
        <v>2.54054144899999E+16</v>
      </c>
    </row>
    <row r="448" spans="20:22" x14ac:dyDescent="0.15">
      <c r="T448" s="6" t="s">
        <v>694</v>
      </c>
      <c r="U448" t="str">
        <f t="shared" si="90"/>
        <v>5096405,15</v>
      </c>
      <c r="V448">
        <f t="shared" si="91"/>
        <v>5096405.1500000004</v>
      </c>
    </row>
    <row r="449" spans="20:22" x14ac:dyDescent="0.15">
      <c r="T449" s="6">
        <v>3.98180832E+16</v>
      </c>
      <c r="U449" t="str">
        <f t="shared" si="90"/>
        <v>39818083200000000</v>
      </c>
      <c r="V449">
        <f t="shared" si="91"/>
        <v>3.98180832E+16</v>
      </c>
    </row>
    <row r="450" spans="20:22" x14ac:dyDescent="0.15">
      <c r="T450" s="6" t="s">
        <v>153</v>
      </c>
      <c r="U450" t="str">
        <f t="shared" si="90"/>
        <v>2518485,3</v>
      </c>
      <c r="V450">
        <f t="shared" si="91"/>
        <v>2518485.2999999998</v>
      </c>
    </row>
    <row r="451" spans="20:22" x14ac:dyDescent="0.15">
      <c r="T451" s="6">
        <v>3.9937289699999904E+16</v>
      </c>
      <c r="U451" t="str">
        <f t="shared" ref="U451:U514" si="92">SUBSTITUTE(T451,".",",")</f>
        <v>39937289699999900</v>
      </c>
      <c r="V451">
        <f t="shared" ref="V451:V491" si="93">_xlfn.NUMBERVALUE(U451)</f>
        <v>3.9937289699999904E+16</v>
      </c>
    </row>
    <row r="452" spans="20:22" x14ac:dyDescent="0.15">
      <c r="T452" s="6" t="s">
        <v>190</v>
      </c>
      <c r="U452" t="str">
        <f t="shared" si="92"/>
        <v>429787,45</v>
      </c>
      <c r="V452">
        <f t="shared" si="93"/>
        <v>429787.45</v>
      </c>
    </row>
    <row r="453" spans="20:22" x14ac:dyDescent="0.15">
      <c r="T453" s="6" t="s">
        <v>208</v>
      </c>
      <c r="U453" t="str">
        <f t="shared" si="92"/>
        <v>858601,26</v>
      </c>
      <c r="V453">
        <f t="shared" si="93"/>
        <v>858601.26</v>
      </c>
    </row>
    <row r="454" spans="20:22" x14ac:dyDescent="0.15">
      <c r="T454" s="6">
        <v>5317590529999990</v>
      </c>
      <c r="U454" t="str">
        <f t="shared" si="92"/>
        <v>5317590529999990</v>
      </c>
      <c r="V454">
        <f t="shared" si="93"/>
        <v>5317590529999990</v>
      </c>
    </row>
    <row r="455" spans="20:22" x14ac:dyDescent="0.15">
      <c r="T455" s="6" t="s">
        <v>245</v>
      </c>
      <c r="U455" t="str">
        <f t="shared" si="92"/>
        <v>3211216,55</v>
      </c>
      <c r="V455">
        <f t="shared" si="93"/>
        <v>3211216.55</v>
      </c>
    </row>
    <row r="456" spans="20:22" x14ac:dyDescent="0.15">
      <c r="T456" s="6">
        <v>1.252731219E+16</v>
      </c>
      <c r="U456" t="str">
        <f t="shared" si="92"/>
        <v>12527312190000000</v>
      </c>
      <c r="V456">
        <f t="shared" si="93"/>
        <v>1.252731219E+16</v>
      </c>
    </row>
    <row r="457" spans="20:22" x14ac:dyDescent="0.15">
      <c r="T457" s="6">
        <v>5981083589999990</v>
      </c>
      <c r="U457" t="str">
        <f t="shared" si="92"/>
        <v>5981083589999990</v>
      </c>
      <c r="V457">
        <f t="shared" si="93"/>
        <v>5981083589999990</v>
      </c>
    </row>
    <row r="458" spans="20:22" x14ac:dyDescent="0.15">
      <c r="T458" s="6">
        <v>3748025899999990</v>
      </c>
      <c r="U458" t="str">
        <f t="shared" si="92"/>
        <v>3748025899999990</v>
      </c>
      <c r="V458">
        <f t="shared" si="93"/>
        <v>3748025899999990</v>
      </c>
    </row>
    <row r="459" spans="20:22" x14ac:dyDescent="0.15">
      <c r="T459" s="6">
        <v>7091715529999990</v>
      </c>
      <c r="U459" t="str">
        <f t="shared" si="92"/>
        <v>7091715529999990</v>
      </c>
      <c r="V459">
        <f t="shared" si="93"/>
        <v>7091715529999990</v>
      </c>
    </row>
    <row r="460" spans="20:22" x14ac:dyDescent="0.15">
      <c r="T460" s="6" t="s">
        <v>336</v>
      </c>
      <c r="U460" t="str">
        <f t="shared" si="92"/>
        <v>8226710,19</v>
      </c>
      <c r="V460">
        <f t="shared" si="93"/>
        <v>8226710.1900000004</v>
      </c>
    </row>
    <row r="461" spans="20:22" x14ac:dyDescent="0.15">
      <c r="T461" s="6">
        <v>4505812440000000</v>
      </c>
      <c r="U461" t="str">
        <f t="shared" si="92"/>
        <v>4505812440000000</v>
      </c>
      <c r="V461">
        <f t="shared" si="93"/>
        <v>4505812440000000</v>
      </c>
    </row>
    <row r="462" spans="20:22" x14ac:dyDescent="0.15">
      <c r="T462" s="6">
        <v>7003302550000000</v>
      </c>
      <c r="U462" t="str">
        <f t="shared" si="92"/>
        <v>7003302550000000</v>
      </c>
      <c r="V462">
        <f t="shared" si="93"/>
        <v>7003302550000000</v>
      </c>
    </row>
    <row r="463" spans="20:22" x14ac:dyDescent="0.15">
      <c r="T463" s="6">
        <v>2289753426000000</v>
      </c>
      <c r="U463" t="str">
        <f t="shared" si="92"/>
        <v>2289753426000000</v>
      </c>
      <c r="V463">
        <f t="shared" si="93"/>
        <v>2289753426000000</v>
      </c>
    </row>
    <row r="464" spans="20:22" x14ac:dyDescent="0.15">
      <c r="T464" s="6">
        <v>8630832220000000</v>
      </c>
      <c r="U464" t="str">
        <f t="shared" si="92"/>
        <v>8630832220000000</v>
      </c>
      <c r="V464">
        <f t="shared" si="93"/>
        <v>8630832220000000</v>
      </c>
    </row>
    <row r="465" spans="20:22" x14ac:dyDescent="0.15">
      <c r="T465" s="6">
        <v>8879598310000010</v>
      </c>
      <c r="U465" t="str">
        <f t="shared" si="92"/>
        <v>8879598310000010</v>
      </c>
      <c r="V465">
        <f t="shared" si="93"/>
        <v>8879598310000010</v>
      </c>
    </row>
    <row r="466" spans="20:22" x14ac:dyDescent="0.15">
      <c r="T466" s="6" t="s">
        <v>444</v>
      </c>
      <c r="U466" t="str">
        <f t="shared" si="92"/>
        <v>3179028,71</v>
      </c>
      <c r="V466">
        <f t="shared" si="93"/>
        <v>3179028.71</v>
      </c>
    </row>
    <row r="467" spans="20:22" x14ac:dyDescent="0.15">
      <c r="T467" s="6" t="s">
        <v>462</v>
      </c>
      <c r="U467" t="str">
        <f t="shared" si="92"/>
        <v>5012711,1</v>
      </c>
      <c r="V467">
        <f t="shared" si="93"/>
        <v>5012711.0999999996</v>
      </c>
    </row>
    <row r="468" spans="20:22" x14ac:dyDescent="0.15">
      <c r="T468" s="6">
        <v>2826870449999990</v>
      </c>
      <c r="U468" t="str">
        <f t="shared" si="92"/>
        <v>2826870449999990</v>
      </c>
      <c r="V468">
        <f t="shared" si="93"/>
        <v>2826870449999990</v>
      </c>
    </row>
    <row r="469" spans="20:22" x14ac:dyDescent="0.15">
      <c r="T469" s="6" t="s">
        <v>499</v>
      </c>
      <c r="U469" t="str">
        <f t="shared" si="92"/>
        <v>13662122,3</v>
      </c>
      <c r="V469">
        <f t="shared" si="93"/>
        <v>13662122.300000001</v>
      </c>
    </row>
    <row r="470" spans="20:22" x14ac:dyDescent="0.15">
      <c r="T470" s="6">
        <v>5.5138442299999904E+16</v>
      </c>
      <c r="U470" t="str">
        <f t="shared" si="92"/>
        <v>55138442299999900</v>
      </c>
      <c r="V470">
        <f t="shared" si="93"/>
        <v>5.5138442299999904E+16</v>
      </c>
    </row>
    <row r="471" spans="20:22" x14ac:dyDescent="0.15">
      <c r="T471" s="6" t="s">
        <v>535</v>
      </c>
      <c r="U471" t="str">
        <f t="shared" si="92"/>
        <v>1248778,48</v>
      </c>
      <c r="V471">
        <f t="shared" si="93"/>
        <v>1248778.48</v>
      </c>
    </row>
    <row r="472" spans="20:22" x14ac:dyDescent="0.15">
      <c r="T472" s="6">
        <v>1.85614458E+16</v>
      </c>
      <c r="U472" t="str">
        <f t="shared" si="92"/>
        <v>18561445800000000</v>
      </c>
      <c r="V472">
        <f t="shared" si="93"/>
        <v>1.85614458E+16</v>
      </c>
    </row>
    <row r="473" spans="20:22" x14ac:dyDescent="0.15">
      <c r="T473" s="6">
        <v>6221943919999990</v>
      </c>
      <c r="U473" t="str">
        <f t="shared" si="92"/>
        <v>6221943919999990</v>
      </c>
      <c r="V473">
        <f t="shared" si="93"/>
        <v>6221943919999990</v>
      </c>
    </row>
    <row r="474" spans="20:22" x14ac:dyDescent="0.15">
      <c r="T474" s="6">
        <v>1.09897756299999E+16</v>
      </c>
      <c r="U474" t="str">
        <f t="shared" si="92"/>
        <v>10989775629999900</v>
      </c>
      <c r="V474">
        <f t="shared" si="93"/>
        <v>1.09897756299999E+16</v>
      </c>
    </row>
    <row r="475" spans="20:22" x14ac:dyDescent="0.15">
      <c r="T475" s="6">
        <v>4684924210000000</v>
      </c>
      <c r="U475" t="str">
        <f t="shared" si="92"/>
        <v>4684924210000000</v>
      </c>
      <c r="V475">
        <f t="shared" si="93"/>
        <v>4684924210000000</v>
      </c>
    </row>
    <row r="476" spans="20:22" x14ac:dyDescent="0.15">
      <c r="T476" s="6">
        <v>2.90312519E+16</v>
      </c>
      <c r="U476" t="str">
        <f t="shared" si="92"/>
        <v>29031251900000000</v>
      </c>
      <c r="V476">
        <f t="shared" si="93"/>
        <v>2.90312519E+16</v>
      </c>
    </row>
    <row r="477" spans="20:22" x14ac:dyDescent="0.15">
      <c r="T477" s="6" t="s">
        <v>640</v>
      </c>
      <c r="U477" t="str">
        <f t="shared" si="92"/>
        <v>8055894,07</v>
      </c>
      <c r="V477">
        <f t="shared" si="93"/>
        <v>8055894.0700000003</v>
      </c>
    </row>
    <row r="478" spans="20:22" x14ac:dyDescent="0.15">
      <c r="T478" s="6">
        <v>1.33834132999999E+16</v>
      </c>
      <c r="U478" t="str">
        <f t="shared" si="92"/>
        <v>13383413299999900</v>
      </c>
      <c r="V478">
        <f t="shared" si="93"/>
        <v>1.33834132999999E+16</v>
      </c>
    </row>
    <row r="479" spans="20:22" x14ac:dyDescent="0.15">
      <c r="T479" s="6">
        <v>2.54054144899999E+16</v>
      </c>
      <c r="U479" t="str">
        <f t="shared" si="92"/>
        <v>25405414489999900</v>
      </c>
      <c r="V479">
        <f t="shared" si="93"/>
        <v>2.54054144899999E+16</v>
      </c>
    </row>
    <row r="480" spans="20:22" x14ac:dyDescent="0.15">
      <c r="T480" s="6" t="s">
        <v>694</v>
      </c>
      <c r="U480" t="str">
        <f t="shared" si="92"/>
        <v>5096405,15</v>
      </c>
      <c r="V480">
        <f t="shared" si="93"/>
        <v>5096405.1500000004</v>
      </c>
    </row>
    <row r="481" spans="20:22" x14ac:dyDescent="0.15">
      <c r="T481" s="6">
        <v>3.98180832E+16</v>
      </c>
      <c r="U481" t="str">
        <f t="shared" si="92"/>
        <v>39818083200000000</v>
      </c>
      <c r="V481">
        <f t="shared" si="93"/>
        <v>3.98180832E+16</v>
      </c>
    </row>
    <row r="482" spans="20:22" x14ac:dyDescent="0.15">
      <c r="T482" s="6" t="s">
        <v>153</v>
      </c>
      <c r="U482" t="str">
        <f t="shared" si="92"/>
        <v>2518485,3</v>
      </c>
      <c r="V482">
        <f t="shared" si="93"/>
        <v>2518485.2999999998</v>
      </c>
    </row>
    <row r="483" spans="20:22" x14ac:dyDescent="0.15">
      <c r="T483" s="6">
        <v>3.9937289699999904E+16</v>
      </c>
      <c r="U483" t="str">
        <f t="shared" si="92"/>
        <v>39937289699999900</v>
      </c>
      <c r="V483">
        <f t="shared" si="93"/>
        <v>3.9937289699999904E+16</v>
      </c>
    </row>
    <row r="484" spans="20:22" x14ac:dyDescent="0.15">
      <c r="T484" s="6" t="s">
        <v>190</v>
      </c>
      <c r="U484" t="str">
        <f t="shared" si="92"/>
        <v>429787,45</v>
      </c>
      <c r="V484">
        <f t="shared" si="93"/>
        <v>429787.45</v>
      </c>
    </row>
    <row r="485" spans="20:22" x14ac:dyDescent="0.15">
      <c r="T485" s="6" t="s">
        <v>208</v>
      </c>
      <c r="U485" t="str">
        <f t="shared" si="92"/>
        <v>858601,26</v>
      </c>
      <c r="V485">
        <f t="shared" si="93"/>
        <v>858601.26</v>
      </c>
    </row>
    <row r="486" spans="20:22" x14ac:dyDescent="0.15">
      <c r="T486" s="6">
        <v>5317590529999990</v>
      </c>
      <c r="U486" t="str">
        <f t="shared" si="92"/>
        <v>5317590529999990</v>
      </c>
      <c r="V486">
        <f t="shared" si="93"/>
        <v>5317590529999990</v>
      </c>
    </row>
    <row r="487" spans="20:22" x14ac:dyDescent="0.15">
      <c r="T487" s="6" t="s">
        <v>245</v>
      </c>
      <c r="U487" t="str">
        <f t="shared" si="92"/>
        <v>3211216,55</v>
      </c>
      <c r="V487">
        <f t="shared" si="93"/>
        <v>3211216.55</v>
      </c>
    </row>
    <row r="488" spans="20:22" x14ac:dyDescent="0.15">
      <c r="T488" s="6">
        <v>1.252731219E+16</v>
      </c>
      <c r="U488" t="str">
        <f t="shared" si="92"/>
        <v>12527312190000000</v>
      </c>
      <c r="V488">
        <f t="shared" si="93"/>
        <v>1.252731219E+16</v>
      </c>
    </row>
    <row r="489" spans="20:22" x14ac:dyDescent="0.15">
      <c r="T489" s="6">
        <v>5981083589999990</v>
      </c>
      <c r="U489" t="str">
        <f t="shared" si="92"/>
        <v>5981083589999990</v>
      </c>
      <c r="V489">
        <f t="shared" si="93"/>
        <v>5981083589999990</v>
      </c>
    </row>
    <row r="490" spans="20:22" x14ac:dyDescent="0.15">
      <c r="T490" s="6">
        <v>3748025899999990</v>
      </c>
      <c r="U490" t="str">
        <f t="shared" si="92"/>
        <v>3748025899999990</v>
      </c>
      <c r="V490">
        <f t="shared" si="93"/>
        <v>3748025899999990</v>
      </c>
    </row>
    <row r="491" spans="20:22" x14ac:dyDescent="0.15">
      <c r="T491" s="6">
        <v>7091715529999990</v>
      </c>
      <c r="U491" t="str">
        <f t="shared" si="92"/>
        <v>7091715529999990</v>
      </c>
      <c r="V491">
        <f t="shared" si="93"/>
        <v>7091715529999990</v>
      </c>
    </row>
    <row r="492" spans="20:22" x14ac:dyDescent="0.15">
      <c r="T492" s="6" t="s">
        <v>336</v>
      </c>
      <c r="U492" t="str">
        <f t="shared" si="92"/>
        <v>8226710,19</v>
      </c>
      <c r="V492">
        <f>SUM(V1:V491)</f>
        <v>4.643703492971819E+18</v>
      </c>
    </row>
    <row r="493" spans="20:22" x14ac:dyDescent="0.15">
      <c r="T493" s="6">
        <v>4505812440000000</v>
      </c>
      <c r="U493" t="str">
        <f t="shared" si="92"/>
        <v>4505812440000000</v>
      </c>
      <c r="V493">
        <f t="shared" ref="V493:V556" si="94">SUM(V2:V492)</f>
        <v>9.287406985943638E+18</v>
      </c>
    </row>
    <row r="494" spans="20:22" x14ac:dyDescent="0.15">
      <c r="T494" s="6">
        <v>7003302550000000</v>
      </c>
      <c r="U494" t="str">
        <f t="shared" si="92"/>
        <v>7003302550000000</v>
      </c>
      <c r="V494">
        <f t="shared" si="94"/>
        <v>1.8574813971884757E+19</v>
      </c>
    </row>
    <row r="495" spans="20:22" x14ac:dyDescent="0.15">
      <c r="T495" s="6">
        <v>2289753426000000</v>
      </c>
      <c r="U495" t="str">
        <f t="shared" si="92"/>
        <v>2289753426000000</v>
      </c>
      <c r="V495">
        <f t="shared" si="94"/>
        <v>3.7109690654069514E+19</v>
      </c>
    </row>
    <row r="496" spans="20:22" x14ac:dyDescent="0.15">
      <c r="T496" s="6">
        <v>8630832220000000</v>
      </c>
      <c r="U496" t="str">
        <f t="shared" si="92"/>
        <v>8630832220000000</v>
      </c>
      <c r="V496">
        <f t="shared" si="94"/>
        <v>7.4219381308138586E+19</v>
      </c>
    </row>
    <row r="497" spans="20:22" x14ac:dyDescent="0.15">
      <c r="T497" s="6">
        <v>8879598310000010</v>
      </c>
      <c r="U497" t="str">
        <f t="shared" si="92"/>
        <v>8879598310000010</v>
      </c>
      <c r="V497">
        <f t="shared" si="94"/>
        <v>1.4843876261627632E+20</v>
      </c>
    </row>
    <row r="498" spans="20:22" x14ac:dyDescent="0.15">
      <c r="T498" s="6" t="s">
        <v>444</v>
      </c>
      <c r="U498" t="str">
        <f t="shared" si="92"/>
        <v>3179028,71</v>
      </c>
      <c r="V498">
        <f t="shared" si="94"/>
        <v>2.9687220764202264E+20</v>
      </c>
    </row>
    <row r="499" spans="20:22" x14ac:dyDescent="0.15">
      <c r="T499" s="6" t="s">
        <v>462</v>
      </c>
      <c r="U499" t="str">
        <f t="shared" si="92"/>
        <v>5012711,1</v>
      </c>
      <c r="V499">
        <f t="shared" si="94"/>
        <v>5.9374441528404214E+20</v>
      </c>
    </row>
    <row r="500" spans="20:22" x14ac:dyDescent="0.15">
      <c r="T500" s="6">
        <v>2826870449999990</v>
      </c>
      <c r="U500" t="str">
        <f t="shared" si="92"/>
        <v>2826870449999990</v>
      </c>
      <c r="V500">
        <f t="shared" si="94"/>
        <v>1.1874763032558942E+21</v>
      </c>
    </row>
    <row r="501" spans="20:22" x14ac:dyDescent="0.15">
      <c r="T501" s="6" t="s">
        <v>499</v>
      </c>
      <c r="U501" t="str">
        <f t="shared" si="92"/>
        <v>13662122,3</v>
      </c>
      <c r="V501">
        <f t="shared" si="94"/>
        <v>2.3749466254281985E+21</v>
      </c>
    </row>
    <row r="502" spans="20:22" x14ac:dyDescent="0.15">
      <c r="T502" s="6">
        <v>5.5138442299999904E+16</v>
      </c>
      <c r="U502" t="str">
        <f t="shared" si="92"/>
        <v>55138442299999900</v>
      </c>
      <c r="V502">
        <f t="shared" si="94"/>
        <v>4.7498895028304961E+21</v>
      </c>
    </row>
    <row r="503" spans="20:22" x14ac:dyDescent="0.15">
      <c r="T503" s="6" t="s">
        <v>535</v>
      </c>
      <c r="U503" t="str">
        <f t="shared" si="92"/>
        <v>1248778,48</v>
      </c>
      <c r="V503">
        <f t="shared" si="94"/>
        <v>9.4997719139454623E+21</v>
      </c>
    </row>
    <row r="504" spans="20:22" x14ac:dyDescent="0.15">
      <c r="T504" s="6">
        <v>1.85614458E+16</v>
      </c>
      <c r="U504" t="str">
        <f t="shared" si="92"/>
        <v>18561445800000000</v>
      </c>
      <c r="V504">
        <f t="shared" si="94"/>
        <v>1.8999543827890916E+22</v>
      </c>
    </row>
    <row r="505" spans="20:22" x14ac:dyDescent="0.15">
      <c r="T505" s="6">
        <v>6221943919999990</v>
      </c>
      <c r="U505" t="str">
        <f t="shared" si="92"/>
        <v>6221943919999990</v>
      </c>
      <c r="V505">
        <f t="shared" si="94"/>
        <v>3.7999083149969391E+22</v>
      </c>
    </row>
    <row r="506" spans="20:22" x14ac:dyDescent="0.15">
      <c r="T506" s="6">
        <v>1.09897756299999E+16</v>
      </c>
      <c r="U506" t="str">
        <f t="shared" si="92"/>
        <v>10989775629999900</v>
      </c>
      <c r="V506">
        <f t="shared" si="94"/>
        <v>7.5998159296636245E+22</v>
      </c>
    </row>
    <row r="507" spans="20:22" x14ac:dyDescent="0.15">
      <c r="T507" s="6">
        <v>4684924210000000</v>
      </c>
      <c r="U507" t="str">
        <f t="shared" si="92"/>
        <v>4684924210000000</v>
      </c>
      <c r="V507">
        <f t="shared" si="94"/>
        <v>1.5199631630351906E+23</v>
      </c>
    </row>
    <row r="508" spans="20:22" x14ac:dyDescent="0.15">
      <c r="T508" s="6">
        <v>2.90312519E+16</v>
      </c>
      <c r="U508" t="str">
        <f t="shared" si="92"/>
        <v>29031251900000000</v>
      </c>
      <c r="V508">
        <f t="shared" si="94"/>
        <v>3.039926239762059E+23</v>
      </c>
    </row>
    <row r="509" spans="20:22" x14ac:dyDescent="0.15">
      <c r="T509" s="6" t="s">
        <v>640</v>
      </c>
      <c r="U509" t="str">
        <f t="shared" si="92"/>
        <v>8055894,07</v>
      </c>
      <c r="V509">
        <f t="shared" si="94"/>
        <v>6.0798523907281348E+23</v>
      </c>
    </row>
    <row r="510" spans="20:22" x14ac:dyDescent="0.15">
      <c r="T510" s="6">
        <v>1.33834132999999E+16</v>
      </c>
      <c r="U510" t="str">
        <f t="shared" si="92"/>
        <v>13383413299999900</v>
      </c>
      <c r="V510">
        <f t="shared" si="94"/>
        <v>1.215970478145627E+24</v>
      </c>
    </row>
    <row r="511" spans="20:22" x14ac:dyDescent="0.15">
      <c r="T511" s="6">
        <v>2.54054144899999E+16</v>
      </c>
      <c r="U511" t="str">
        <f t="shared" si="92"/>
        <v>25405414489999900</v>
      </c>
      <c r="V511">
        <f t="shared" si="94"/>
        <v>2.4319409562912539E+24</v>
      </c>
    </row>
    <row r="512" spans="20:22" x14ac:dyDescent="0.15">
      <c r="T512" s="6" t="s">
        <v>694</v>
      </c>
      <c r="U512" t="str">
        <f t="shared" si="92"/>
        <v>5096405,15</v>
      </c>
      <c r="V512">
        <f t="shared" si="94"/>
        <v>4.8638819097556366E+24</v>
      </c>
    </row>
    <row r="513" spans="20:22" x14ac:dyDescent="0.15">
      <c r="T513" s="6">
        <v>3.98180832E+16</v>
      </c>
      <c r="U513" t="str">
        <f t="shared" si="92"/>
        <v>39818083200000000</v>
      </c>
      <c r="V513">
        <f t="shared" si="94"/>
        <v>9.7277638195112732E+24</v>
      </c>
    </row>
    <row r="514" spans="20:22" x14ac:dyDescent="0.15">
      <c r="T514" s="6" t="s">
        <v>153</v>
      </c>
      <c r="U514" t="str">
        <f t="shared" si="92"/>
        <v>2518485,3</v>
      </c>
      <c r="V514">
        <f t="shared" si="94"/>
        <v>1.9455527583884104E+25</v>
      </c>
    </row>
    <row r="515" spans="20:22" x14ac:dyDescent="0.15">
      <c r="T515" s="6">
        <v>3.9937289699999904E+16</v>
      </c>
      <c r="U515" t="str">
        <f t="shared" ref="U515:U577" si="95">SUBSTITUTE(T515,".",",")</f>
        <v>39937289699999900</v>
      </c>
      <c r="V515">
        <f t="shared" si="94"/>
        <v>3.8911055167768208E+25</v>
      </c>
    </row>
    <row r="516" spans="20:22" x14ac:dyDescent="0.15">
      <c r="T516" s="6" t="s">
        <v>190</v>
      </c>
      <c r="U516" t="str">
        <f t="shared" si="95"/>
        <v>429787,45</v>
      </c>
      <c r="V516">
        <f t="shared" si="94"/>
        <v>7.7822110316974959E+25</v>
      </c>
    </row>
    <row r="517" spans="20:22" x14ac:dyDescent="0.15">
      <c r="T517" s="6" t="s">
        <v>208</v>
      </c>
      <c r="U517" t="str">
        <f t="shared" si="95"/>
        <v>858601,26</v>
      </c>
      <c r="V517">
        <f t="shared" si="94"/>
        <v>1.5564422062772799E+26</v>
      </c>
    </row>
    <row r="518" spans="20:22" x14ac:dyDescent="0.15">
      <c r="T518" s="6">
        <v>5317590529999990</v>
      </c>
      <c r="U518" t="str">
        <f t="shared" si="95"/>
        <v>5317590529999990</v>
      </c>
      <c r="V518">
        <f t="shared" si="94"/>
        <v>3.1128844124446622E+26</v>
      </c>
    </row>
    <row r="519" spans="20:22" x14ac:dyDescent="0.15">
      <c r="T519" s="6" t="s">
        <v>245</v>
      </c>
      <c r="U519" t="str">
        <f t="shared" si="95"/>
        <v>3211216,55</v>
      </c>
      <c r="V519">
        <f t="shared" si="94"/>
        <v>6.2257688248424742E+26</v>
      </c>
    </row>
    <row r="520" spans="20:22" x14ac:dyDescent="0.15">
      <c r="T520" s="6">
        <v>1.252731219E+16</v>
      </c>
      <c r="U520" t="str">
        <f t="shared" si="95"/>
        <v>12527312190000000</v>
      </c>
      <c r="V520">
        <f t="shared" si="94"/>
        <v>1.2451537649394636E+27</v>
      </c>
    </row>
    <row r="521" spans="20:22" x14ac:dyDescent="0.15">
      <c r="T521" s="6">
        <v>5981083589999990</v>
      </c>
      <c r="U521" t="str">
        <f t="shared" si="95"/>
        <v>5981083589999990</v>
      </c>
      <c r="V521">
        <f t="shared" si="94"/>
        <v>2.4903075298789272E+27</v>
      </c>
    </row>
    <row r="522" spans="20:22" x14ac:dyDescent="0.15">
      <c r="T522" s="6">
        <v>3748025899999990</v>
      </c>
      <c r="U522" t="str">
        <f t="shared" si="95"/>
        <v>3748025899999990</v>
      </c>
      <c r="V522">
        <f t="shared" si="94"/>
        <v>4.9806150597444701E+27</v>
      </c>
    </row>
    <row r="523" spans="20:22" x14ac:dyDescent="0.15">
      <c r="T523" s="6">
        <v>7091715529999990</v>
      </c>
      <c r="U523" t="str">
        <f t="shared" si="95"/>
        <v>7091715529999990</v>
      </c>
      <c r="V523">
        <f t="shared" si="94"/>
        <v>9.9612301194635349E+27</v>
      </c>
    </row>
    <row r="524" spans="20:22" x14ac:dyDescent="0.15">
      <c r="T524" s="6" t="s">
        <v>336</v>
      </c>
      <c r="U524" t="str">
        <f t="shared" si="95"/>
        <v>8226710,19</v>
      </c>
      <c r="V524">
        <f t="shared" si="94"/>
        <v>1.992246023892707E+28</v>
      </c>
    </row>
    <row r="525" spans="20:22" x14ac:dyDescent="0.15">
      <c r="T525" s="6">
        <v>4505812440000000</v>
      </c>
      <c r="U525" t="str">
        <f t="shared" si="95"/>
        <v>4505812440000000</v>
      </c>
      <c r="V525">
        <f t="shared" si="94"/>
        <v>3.984492047781432E+28</v>
      </c>
    </row>
    <row r="526" spans="20:22" x14ac:dyDescent="0.15">
      <c r="T526" s="6">
        <v>7003302550000000</v>
      </c>
      <c r="U526" t="str">
        <f t="shared" si="95"/>
        <v>7003302550000000</v>
      </c>
      <c r="V526">
        <f t="shared" si="94"/>
        <v>7.9689840955628639E+28</v>
      </c>
    </row>
    <row r="527" spans="20:22" x14ac:dyDescent="0.15">
      <c r="T527" s="6">
        <v>2289753426000000</v>
      </c>
      <c r="U527" t="str">
        <f t="shared" si="95"/>
        <v>2289753426000000</v>
      </c>
      <c r="V527">
        <f t="shared" si="94"/>
        <v>1.5937968191125327E+29</v>
      </c>
    </row>
    <row r="528" spans="20:22" x14ac:dyDescent="0.15">
      <c r="T528" s="6">
        <v>8630832220000000</v>
      </c>
      <c r="U528" t="str">
        <f t="shared" si="95"/>
        <v>8630832220000000</v>
      </c>
      <c r="V528">
        <f t="shared" si="94"/>
        <v>3.1875936382250189E+29</v>
      </c>
    </row>
    <row r="529" spans="20:22" x14ac:dyDescent="0.15">
      <c r="T529" s="6">
        <v>8879598310000010</v>
      </c>
      <c r="U529" t="str">
        <f t="shared" si="95"/>
        <v>8879598310000010</v>
      </c>
      <c r="V529">
        <f t="shared" si="94"/>
        <v>6.3751872764499421E+29</v>
      </c>
    </row>
    <row r="530" spans="20:22" x14ac:dyDescent="0.15">
      <c r="T530" s="6" t="s">
        <v>444</v>
      </c>
      <c r="U530" t="str">
        <f t="shared" si="95"/>
        <v>3179028,71</v>
      </c>
      <c r="V530">
        <f t="shared" si="94"/>
        <v>1.2750374552899884E+30</v>
      </c>
    </row>
    <row r="531" spans="20:22" x14ac:dyDescent="0.15">
      <c r="T531" s="6" t="s">
        <v>462</v>
      </c>
      <c r="U531" t="str">
        <f t="shared" si="95"/>
        <v>5012711,1</v>
      </c>
      <c r="V531">
        <f t="shared" si="94"/>
        <v>2.5500749105799476E+30</v>
      </c>
    </row>
    <row r="532" spans="20:22" x14ac:dyDescent="0.15">
      <c r="T532" s="6">
        <v>2826870449999990</v>
      </c>
      <c r="U532" t="str">
        <f t="shared" si="95"/>
        <v>2826870449999990</v>
      </c>
      <c r="V532">
        <f t="shared" si="94"/>
        <v>5.1001498211598828E+30</v>
      </c>
    </row>
    <row r="533" spans="20:22" x14ac:dyDescent="0.15">
      <c r="T533" s="6" t="s">
        <v>499</v>
      </c>
      <c r="U533" t="str">
        <f t="shared" si="95"/>
        <v>13662122,3</v>
      </c>
      <c r="V533">
        <f t="shared" si="94"/>
        <v>1.0200299642319766E+31</v>
      </c>
    </row>
    <row r="534" spans="20:22" x14ac:dyDescent="0.15">
      <c r="T534" s="6">
        <v>5.5138442299999904E+16</v>
      </c>
      <c r="U534" t="str">
        <f t="shared" si="95"/>
        <v>55138442299999900</v>
      </c>
      <c r="V534">
        <f t="shared" si="94"/>
        <v>2.0400599284639531E+31</v>
      </c>
    </row>
    <row r="535" spans="20:22" x14ac:dyDescent="0.15">
      <c r="T535" s="6" t="s">
        <v>535</v>
      </c>
      <c r="U535" t="str">
        <f t="shared" si="95"/>
        <v>1248778,48</v>
      </c>
      <c r="V535">
        <f t="shared" si="94"/>
        <v>4.0801198569279062E+31</v>
      </c>
    </row>
    <row r="536" spans="20:22" x14ac:dyDescent="0.15">
      <c r="T536" s="6">
        <v>1.85614458E+16</v>
      </c>
      <c r="U536" t="str">
        <f t="shared" si="95"/>
        <v>18561445800000000</v>
      </c>
      <c r="V536">
        <f t="shared" si="94"/>
        <v>8.1602397138558106E+31</v>
      </c>
    </row>
    <row r="537" spans="20:22" x14ac:dyDescent="0.15">
      <c r="T537" s="6">
        <v>6221943919999990</v>
      </c>
      <c r="U537" t="str">
        <f t="shared" si="95"/>
        <v>6221943919999990</v>
      </c>
      <c r="V537">
        <f t="shared" si="94"/>
        <v>1.6320479427711621E+32</v>
      </c>
    </row>
    <row r="538" spans="20:22" x14ac:dyDescent="0.15">
      <c r="T538" s="6">
        <v>1.09897756299999E+16</v>
      </c>
      <c r="U538" t="str">
        <f t="shared" si="95"/>
        <v>10989775629999900</v>
      </c>
      <c r="V538">
        <f t="shared" si="94"/>
        <v>3.2640958855423242E+32</v>
      </c>
    </row>
    <row r="539" spans="20:22" x14ac:dyDescent="0.15">
      <c r="T539" s="6">
        <v>4684924210000000</v>
      </c>
      <c r="U539" t="str">
        <f t="shared" si="95"/>
        <v>4684924210000000</v>
      </c>
      <c r="V539">
        <f t="shared" si="94"/>
        <v>6.5281917710846485E+32</v>
      </c>
    </row>
    <row r="540" spans="20:22" x14ac:dyDescent="0.15">
      <c r="T540" s="6">
        <v>2.90312519E+16</v>
      </c>
      <c r="U540" t="str">
        <f t="shared" si="95"/>
        <v>29031251900000000</v>
      </c>
      <c r="V540">
        <f t="shared" si="94"/>
        <v>1.3056383542169297E+33</v>
      </c>
    </row>
    <row r="541" spans="20:22" x14ac:dyDescent="0.15">
      <c r="T541" s="6" t="s">
        <v>640</v>
      </c>
      <c r="U541" t="str">
        <f t="shared" si="95"/>
        <v>8055894,07</v>
      </c>
      <c r="V541">
        <f t="shared" si="94"/>
        <v>2.6112767084338594E+33</v>
      </c>
    </row>
    <row r="542" spans="20:22" x14ac:dyDescent="0.15">
      <c r="T542" s="6">
        <v>1.33834132999999E+16</v>
      </c>
      <c r="U542" t="str">
        <f t="shared" si="95"/>
        <v>13383413299999900</v>
      </c>
      <c r="V542">
        <f t="shared" si="94"/>
        <v>5.2225534168677188E+33</v>
      </c>
    </row>
    <row r="543" spans="20:22" x14ac:dyDescent="0.15">
      <c r="T543" s="6">
        <v>2.54054144899999E+16</v>
      </c>
      <c r="U543" t="str">
        <f t="shared" si="95"/>
        <v>25405414489999900</v>
      </c>
      <c r="V543">
        <f t="shared" si="94"/>
        <v>1.0445106833735438E+34</v>
      </c>
    </row>
    <row r="544" spans="20:22" x14ac:dyDescent="0.15">
      <c r="T544" s="6" t="s">
        <v>694</v>
      </c>
      <c r="U544" t="str">
        <f t="shared" si="95"/>
        <v>5096405,15</v>
      </c>
      <c r="V544">
        <f t="shared" si="94"/>
        <v>2.0890213667470875E+34</v>
      </c>
    </row>
    <row r="545" spans="20:22" x14ac:dyDescent="0.15">
      <c r="T545" s="6">
        <v>3.98180832E+16</v>
      </c>
      <c r="U545" t="str">
        <f t="shared" si="95"/>
        <v>39818083200000000</v>
      </c>
      <c r="V545">
        <f t="shared" si="94"/>
        <v>4.178042733494175E+34</v>
      </c>
    </row>
    <row r="546" spans="20:22" x14ac:dyDescent="0.15">
      <c r="T546" s="6" t="s">
        <v>153</v>
      </c>
      <c r="U546" t="str">
        <f t="shared" si="95"/>
        <v>2518485,3</v>
      </c>
      <c r="V546">
        <f t="shared" si="94"/>
        <v>8.3560854669883501E+34</v>
      </c>
    </row>
    <row r="547" spans="20:22" x14ac:dyDescent="0.15">
      <c r="T547" s="6">
        <v>3.9937289699999904E+16</v>
      </c>
      <c r="U547" t="str">
        <f t="shared" si="95"/>
        <v>39937289699999900</v>
      </c>
      <c r="V547">
        <f t="shared" si="94"/>
        <v>1.67121709339767E+35</v>
      </c>
    </row>
    <row r="548" spans="20:22" x14ac:dyDescent="0.15">
      <c r="T548" s="6" t="s">
        <v>190</v>
      </c>
      <c r="U548" t="str">
        <f t="shared" si="95"/>
        <v>429787,45</v>
      </c>
      <c r="V548">
        <f t="shared" si="94"/>
        <v>3.34243418679534E+35</v>
      </c>
    </row>
    <row r="549" spans="20:22" x14ac:dyDescent="0.15">
      <c r="T549" s="6" t="s">
        <v>208</v>
      </c>
      <c r="U549" t="str">
        <f t="shared" si="95"/>
        <v>858601,26</v>
      </c>
      <c r="V549">
        <f t="shared" si="94"/>
        <v>6.6848683735906801E+35</v>
      </c>
    </row>
    <row r="550" spans="20:22" x14ac:dyDescent="0.15">
      <c r="T550" s="6">
        <v>5317590529999990</v>
      </c>
      <c r="U550" t="str">
        <f t="shared" si="95"/>
        <v>5317590529999990</v>
      </c>
      <c r="V550">
        <f t="shared" si="94"/>
        <v>1.336973674718136E+36</v>
      </c>
    </row>
    <row r="551" spans="20:22" x14ac:dyDescent="0.15">
      <c r="T551" s="6" t="s">
        <v>245</v>
      </c>
      <c r="U551" t="str">
        <f t="shared" si="95"/>
        <v>3211216,55</v>
      </c>
      <c r="V551">
        <f t="shared" si="94"/>
        <v>2.673947349436272E+36</v>
      </c>
    </row>
    <row r="552" spans="20:22" x14ac:dyDescent="0.15">
      <c r="T552" s="6">
        <v>1.252731219E+16</v>
      </c>
      <c r="U552" t="str">
        <f t="shared" si="95"/>
        <v>12527312190000000</v>
      </c>
      <c r="V552">
        <f t="shared" si="94"/>
        <v>5.3478946988725441E+36</v>
      </c>
    </row>
    <row r="553" spans="20:22" x14ac:dyDescent="0.15">
      <c r="T553" s="6">
        <v>5981083589999990</v>
      </c>
      <c r="U553" t="str">
        <f t="shared" si="95"/>
        <v>5981083589999990</v>
      </c>
      <c r="V553">
        <f t="shared" si="94"/>
        <v>1.0695789397745088E+37</v>
      </c>
    </row>
    <row r="554" spans="20:22" x14ac:dyDescent="0.15">
      <c r="T554" s="6">
        <v>3748025899999990</v>
      </c>
      <c r="U554" t="str">
        <f t="shared" si="95"/>
        <v>3748025899999990</v>
      </c>
      <c r="V554">
        <f t="shared" si="94"/>
        <v>2.1391578795490176E+37</v>
      </c>
    </row>
    <row r="555" spans="20:22" x14ac:dyDescent="0.15">
      <c r="T555" s="6">
        <v>7091715529999990</v>
      </c>
      <c r="U555" t="str">
        <f t="shared" si="95"/>
        <v>7091715529999990</v>
      </c>
      <c r="V555">
        <f t="shared" si="94"/>
        <v>4.2783157590980352E+37</v>
      </c>
    </row>
    <row r="556" spans="20:22" x14ac:dyDescent="0.15">
      <c r="T556" s="6" t="s">
        <v>336</v>
      </c>
      <c r="U556" t="str">
        <f t="shared" si="95"/>
        <v>8226710,19</v>
      </c>
      <c r="V556">
        <f t="shared" si="94"/>
        <v>8.5566315181960705E+37</v>
      </c>
    </row>
    <row r="557" spans="20:22" x14ac:dyDescent="0.15">
      <c r="T557" s="6">
        <v>4505812440000000</v>
      </c>
      <c r="U557" t="str">
        <f t="shared" si="95"/>
        <v>4505812440000000</v>
      </c>
      <c r="V557">
        <f t="shared" ref="V557:V577" si="96">SUM(V66:V556)</f>
        <v>1.7113263036392141E+38</v>
      </c>
    </row>
    <row r="558" spans="20:22" x14ac:dyDescent="0.15">
      <c r="T558" s="6">
        <v>7003302550000000</v>
      </c>
      <c r="U558" t="str">
        <f t="shared" si="95"/>
        <v>7003302550000000</v>
      </c>
      <c r="V558">
        <f t="shared" si="96"/>
        <v>3.4226526072784282E+38</v>
      </c>
    </row>
    <row r="559" spans="20:22" x14ac:dyDescent="0.15">
      <c r="T559" s="6">
        <v>2289753426000000</v>
      </c>
      <c r="U559" t="str">
        <f t="shared" si="95"/>
        <v>2289753426000000</v>
      </c>
      <c r="V559">
        <f t="shared" si="96"/>
        <v>6.8453052145568564E+38</v>
      </c>
    </row>
    <row r="560" spans="20:22" x14ac:dyDescent="0.15">
      <c r="T560" s="6">
        <v>8630832220000000</v>
      </c>
      <c r="U560" t="str">
        <f t="shared" si="95"/>
        <v>8630832220000000</v>
      </c>
      <c r="V560">
        <f t="shared" si="96"/>
        <v>1.3690610429113713E+39</v>
      </c>
    </row>
    <row r="561" spans="20:22" x14ac:dyDescent="0.15">
      <c r="T561" s="6">
        <v>8879598310000010</v>
      </c>
      <c r="U561" t="str">
        <f t="shared" si="95"/>
        <v>8879598310000010</v>
      </c>
      <c r="V561">
        <f t="shared" si="96"/>
        <v>2.7381220858227426E+39</v>
      </c>
    </row>
    <row r="562" spans="20:22" x14ac:dyDescent="0.15">
      <c r="T562" s="6" t="s">
        <v>444</v>
      </c>
      <c r="U562" t="str">
        <f t="shared" si="95"/>
        <v>3179028,71</v>
      </c>
      <c r="V562">
        <f t="shared" si="96"/>
        <v>5.4762441716454851E+39</v>
      </c>
    </row>
    <row r="563" spans="20:22" x14ac:dyDescent="0.15">
      <c r="T563" s="6" t="s">
        <v>462</v>
      </c>
      <c r="U563" t="str">
        <f t="shared" si="95"/>
        <v>5012711,1</v>
      </c>
      <c r="V563">
        <f t="shared" si="96"/>
        <v>1.095248834329097E+40</v>
      </c>
    </row>
    <row r="564" spans="20:22" x14ac:dyDescent="0.15">
      <c r="T564" s="6">
        <v>2826870449999990</v>
      </c>
      <c r="U564" t="str">
        <f t="shared" si="95"/>
        <v>2826870449999990</v>
      </c>
      <c r="V564">
        <f t="shared" si="96"/>
        <v>2.190497668658194E+40</v>
      </c>
    </row>
    <row r="565" spans="20:22" x14ac:dyDescent="0.15">
      <c r="T565" s="6" t="s">
        <v>499</v>
      </c>
      <c r="U565" t="str">
        <f t="shared" si="95"/>
        <v>13662122,3</v>
      </c>
      <c r="V565">
        <f t="shared" si="96"/>
        <v>4.3809953373163881E+40</v>
      </c>
    </row>
    <row r="566" spans="20:22" x14ac:dyDescent="0.15">
      <c r="T566" s="6">
        <v>5.5138442299999904E+16</v>
      </c>
      <c r="U566" t="str">
        <f t="shared" si="95"/>
        <v>55138442299999900</v>
      </c>
      <c r="V566">
        <f t="shared" si="96"/>
        <v>8.7619906746327762E+40</v>
      </c>
    </row>
    <row r="567" spans="20:22" x14ac:dyDescent="0.15">
      <c r="T567" s="6" t="s">
        <v>535</v>
      </c>
      <c r="U567" t="str">
        <f t="shared" si="95"/>
        <v>1248778,48</v>
      </c>
      <c r="V567">
        <f t="shared" si="96"/>
        <v>1.7523981349265552E+41</v>
      </c>
    </row>
    <row r="568" spans="20:22" x14ac:dyDescent="0.15">
      <c r="T568" s="6">
        <v>1.85614458E+16</v>
      </c>
      <c r="U568" t="str">
        <f t="shared" si="95"/>
        <v>18561445800000000</v>
      </c>
      <c r="V568">
        <f t="shared" si="96"/>
        <v>3.5047962698531105E+41</v>
      </c>
    </row>
    <row r="569" spans="20:22" x14ac:dyDescent="0.15">
      <c r="T569" s="6">
        <v>6221943919999990</v>
      </c>
      <c r="U569" t="str">
        <f t="shared" si="95"/>
        <v>6221943919999990</v>
      </c>
      <c r="V569">
        <f t="shared" si="96"/>
        <v>7.0095925397062209E+41</v>
      </c>
    </row>
    <row r="570" spans="20:22" x14ac:dyDescent="0.15">
      <c r="T570" s="6">
        <v>1.09897756299999E+16</v>
      </c>
      <c r="U570" t="str">
        <f t="shared" si="95"/>
        <v>10989775629999900</v>
      </c>
      <c r="V570">
        <f t="shared" si="96"/>
        <v>1.4019185079412442E+42</v>
      </c>
    </row>
    <row r="571" spans="20:22" x14ac:dyDescent="0.15">
      <c r="T571" s="6">
        <v>4684924210000000</v>
      </c>
      <c r="U571" t="str">
        <f t="shared" si="95"/>
        <v>4684924210000000</v>
      </c>
      <c r="V571">
        <f t="shared" si="96"/>
        <v>2.8038370158824884E+42</v>
      </c>
    </row>
    <row r="572" spans="20:22" x14ac:dyDescent="0.15">
      <c r="T572" s="6">
        <v>2.90312519E+16</v>
      </c>
      <c r="U572" t="str">
        <f t="shared" si="95"/>
        <v>29031251900000000</v>
      </c>
      <c r="V572">
        <f t="shared" si="96"/>
        <v>5.6076740317649768E+42</v>
      </c>
    </row>
    <row r="573" spans="20:22" x14ac:dyDescent="0.15">
      <c r="T573" s="6" t="s">
        <v>640</v>
      </c>
      <c r="U573" t="str">
        <f t="shared" si="95"/>
        <v>8055894,07</v>
      </c>
      <c r="V573">
        <f t="shared" si="96"/>
        <v>1.1215348063529954E+43</v>
      </c>
    </row>
    <row r="574" spans="20:22" x14ac:dyDescent="0.15">
      <c r="T574" s="6">
        <v>1.33834132999999E+16</v>
      </c>
      <c r="U574" t="str">
        <f t="shared" si="95"/>
        <v>13383413299999900</v>
      </c>
      <c r="V574">
        <f t="shared" si="96"/>
        <v>2.2430696127059907E+43</v>
      </c>
    </row>
    <row r="575" spans="20:22" x14ac:dyDescent="0.15">
      <c r="T575" s="6">
        <v>2.54054144899999E+16</v>
      </c>
      <c r="U575" t="str">
        <f t="shared" si="95"/>
        <v>25405414489999900</v>
      </c>
      <c r="V575">
        <f t="shared" si="96"/>
        <v>4.4861392254119814E+43</v>
      </c>
    </row>
    <row r="576" spans="20:22" x14ac:dyDescent="0.15">
      <c r="T576" s="6" t="s">
        <v>694</v>
      </c>
      <c r="U576" t="str">
        <f t="shared" si="95"/>
        <v>5096405,15</v>
      </c>
      <c r="V576">
        <f t="shared" si="96"/>
        <v>8.9722784508239628E+43</v>
      </c>
    </row>
    <row r="577" spans="20:22" x14ac:dyDescent="0.15">
      <c r="T577" s="6">
        <v>3.98180832E+16</v>
      </c>
      <c r="U577" t="str">
        <f t="shared" si="95"/>
        <v>39818083200000000</v>
      </c>
      <c r="V577">
        <f t="shared" si="96"/>
        <v>1.7944556901647926E+44</v>
      </c>
    </row>
  </sheetData>
  <mergeCells count="2">
    <mergeCell ref="A36:Q36"/>
    <mergeCell ref="A73:Q7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 summaryRight="0"/>
  </sheetPr>
  <dimension ref="A1:AK59"/>
  <sheetViews>
    <sheetView tabSelected="1" zoomScale="75" zoomScaleNormal="190" workbookViewId="0">
      <selection activeCell="C37" sqref="C37"/>
    </sheetView>
  </sheetViews>
  <sheetFormatPr baseColWidth="10" defaultColWidth="12.5" defaultRowHeight="15.75" customHeight="1" x14ac:dyDescent="0.15"/>
  <cols>
    <col min="1" max="1" width="27.1640625" customWidth="1"/>
    <col min="2" max="2" width="26.6640625" customWidth="1"/>
    <col min="3" max="4" width="31.5" customWidth="1"/>
    <col min="5" max="5" width="15" customWidth="1"/>
    <col min="6" max="6" width="31.5" customWidth="1"/>
    <col min="7" max="7" width="20.6640625" customWidth="1"/>
    <col min="8" max="8" width="18.6640625" customWidth="1"/>
    <col min="9" max="12" width="20.5" customWidth="1"/>
    <col min="13" max="13" width="21.6640625" customWidth="1"/>
    <col min="14" max="15" width="21.5" customWidth="1"/>
    <col min="16" max="16" width="27.1640625" customWidth="1"/>
    <col min="17" max="17" width="21.5" customWidth="1"/>
    <col min="18" max="18" width="19.6640625" customWidth="1"/>
    <col min="19" max="21" width="21" customWidth="1"/>
    <col min="22" max="22" width="24" customWidth="1"/>
    <col min="23" max="23" width="19" customWidth="1"/>
    <col min="24" max="24" width="22.6640625" customWidth="1"/>
    <col min="25" max="25" width="21" customWidth="1"/>
    <col min="26" max="26" width="21.6640625" customWidth="1"/>
    <col min="28" max="28" width="22.33203125" customWidth="1"/>
    <col min="29" max="29" width="19.5" customWidth="1"/>
    <col min="30" max="32" width="20.1640625" customWidth="1"/>
    <col min="33" max="33" width="20" customWidth="1"/>
    <col min="34" max="34" width="28.5" customWidth="1"/>
    <col min="35" max="35" width="19.83203125" customWidth="1"/>
    <col min="36" max="37" width="20.1640625" customWidth="1"/>
    <col min="38" max="41" width="18.83203125" customWidth="1"/>
    <col min="42" max="42" width="18.6640625" customWidth="1"/>
    <col min="43" max="43" width="19.5" customWidth="1"/>
    <col min="44" max="44" width="17" customWidth="1"/>
  </cols>
  <sheetData>
    <row r="1" spans="1:37" ht="13" x14ac:dyDescent="0.15">
      <c r="A1" s="13" t="s">
        <v>0</v>
      </c>
      <c r="B1" s="13" t="s">
        <v>1</v>
      </c>
      <c r="C1" s="13">
        <v>2004</v>
      </c>
      <c r="D1" s="13" t="s">
        <v>1</v>
      </c>
      <c r="E1" s="14">
        <v>2005</v>
      </c>
      <c r="F1" s="13" t="s">
        <v>1</v>
      </c>
      <c r="G1" s="14">
        <v>2006</v>
      </c>
      <c r="H1" s="14" t="s">
        <v>1</v>
      </c>
      <c r="I1" s="14">
        <v>2007</v>
      </c>
      <c r="J1" s="14" t="s">
        <v>1</v>
      </c>
      <c r="K1" s="14">
        <v>2008</v>
      </c>
      <c r="L1" s="14" t="s">
        <v>1</v>
      </c>
      <c r="M1" s="14">
        <v>2009</v>
      </c>
      <c r="N1" s="14" t="s">
        <v>1</v>
      </c>
      <c r="O1" s="14">
        <v>2010</v>
      </c>
      <c r="P1" s="14" t="s">
        <v>1</v>
      </c>
      <c r="Q1" s="14">
        <v>2011</v>
      </c>
      <c r="R1" s="14" t="s">
        <v>1</v>
      </c>
      <c r="S1" s="14">
        <v>2012</v>
      </c>
      <c r="T1" s="14" t="s">
        <v>1</v>
      </c>
      <c r="U1" s="14">
        <v>2013</v>
      </c>
      <c r="V1" s="14" t="s">
        <v>1</v>
      </c>
      <c r="W1" s="14">
        <v>2014</v>
      </c>
      <c r="X1" s="14" t="s">
        <v>1</v>
      </c>
      <c r="Y1" s="14">
        <v>2015</v>
      </c>
      <c r="Z1" s="14" t="s">
        <v>1</v>
      </c>
      <c r="AA1" s="14">
        <v>2016</v>
      </c>
      <c r="AB1" s="14" t="s">
        <v>1</v>
      </c>
      <c r="AC1" s="14">
        <v>2017</v>
      </c>
      <c r="AD1" s="13" t="s">
        <v>1</v>
      </c>
      <c r="AE1" s="13">
        <v>2018</v>
      </c>
      <c r="AF1" s="13" t="s">
        <v>1</v>
      </c>
      <c r="AG1" s="13">
        <v>2019</v>
      </c>
      <c r="AH1" s="14" t="s">
        <v>1</v>
      </c>
      <c r="AI1" s="14">
        <v>2020</v>
      </c>
      <c r="AJ1" s="14" t="s">
        <v>1</v>
      </c>
      <c r="AK1" s="14">
        <v>2021</v>
      </c>
    </row>
    <row r="2" spans="1:37" ht="15.75" customHeight="1" x14ac:dyDescent="0.15">
      <c r="A2" s="14" t="s">
        <v>2</v>
      </c>
      <c r="B2" s="14" t="s">
        <v>3</v>
      </c>
      <c r="C2" s="14">
        <v>99</v>
      </c>
      <c r="D2" s="14" t="s">
        <v>4</v>
      </c>
      <c r="E2" s="14">
        <v>95</v>
      </c>
      <c r="F2" s="14" t="s">
        <v>5</v>
      </c>
      <c r="G2" s="14">
        <v>99</v>
      </c>
      <c r="H2" s="14" t="s">
        <v>6</v>
      </c>
      <c r="I2" s="14">
        <v>99</v>
      </c>
      <c r="J2" s="14" t="s">
        <v>7</v>
      </c>
      <c r="K2" s="14">
        <v>9809</v>
      </c>
      <c r="L2" s="14" t="s">
        <v>8</v>
      </c>
      <c r="M2" s="14">
        <v>982</v>
      </c>
      <c r="N2" s="14" t="s">
        <v>7</v>
      </c>
      <c r="O2" s="14">
        <v>979</v>
      </c>
      <c r="P2" s="14" t="s">
        <v>7</v>
      </c>
      <c r="Q2" s="14">
        <v>97</v>
      </c>
      <c r="R2" s="14" t="s">
        <v>8</v>
      </c>
      <c r="S2" s="14">
        <v>990</v>
      </c>
      <c r="T2" s="14" t="s">
        <v>8</v>
      </c>
      <c r="U2" s="14">
        <v>995</v>
      </c>
      <c r="V2" s="14" t="s">
        <v>9</v>
      </c>
      <c r="W2" s="14">
        <v>99</v>
      </c>
      <c r="X2" s="14" t="s">
        <v>10</v>
      </c>
      <c r="Y2" s="14">
        <v>646.5</v>
      </c>
      <c r="Z2" s="14" t="s">
        <v>11</v>
      </c>
      <c r="AA2" s="14">
        <v>6188.2</v>
      </c>
      <c r="AB2" s="14" t="s">
        <v>12</v>
      </c>
      <c r="AC2" s="14">
        <v>88.8</v>
      </c>
      <c r="AD2" s="14" t="s">
        <v>4</v>
      </c>
      <c r="AE2" s="14">
        <v>9.5</v>
      </c>
      <c r="AF2" s="14" t="s">
        <v>12</v>
      </c>
      <c r="AG2" s="14">
        <v>98.82</v>
      </c>
      <c r="AH2" s="14" t="s">
        <v>13</v>
      </c>
      <c r="AI2" s="14">
        <v>78.8</v>
      </c>
      <c r="AJ2" s="14" t="s">
        <v>14</v>
      </c>
      <c r="AK2" s="14">
        <v>73.5</v>
      </c>
    </row>
    <row r="3" spans="1:37" ht="15.75" customHeight="1" x14ac:dyDescent="0.15">
      <c r="A3" s="14" t="s">
        <v>15</v>
      </c>
      <c r="B3" s="14" t="s">
        <v>16</v>
      </c>
      <c r="C3" s="14">
        <v>99</v>
      </c>
      <c r="D3" s="14" t="s">
        <v>10</v>
      </c>
      <c r="E3" s="14">
        <v>995</v>
      </c>
      <c r="F3" s="14" t="s">
        <v>4</v>
      </c>
      <c r="G3" s="14">
        <v>984</v>
      </c>
      <c r="H3" s="14" t="s">
        <v>17</v>
      </c>
      <c r="I3" s="14">
        <v>98</v>
      </c>
      <c r="J3" s="14" t="s">
        <v>18</v>
      </c>
      <c r="K3" s="14">
        <v>9763</v>
      </c>
      <c r="L3" s="14" t="s">
        <v>12</v>
      </c>
      <c r="M3" s="14">
        <v>982.25</v>
      </c>
      <c r="N3" s="14" t="s">
        <v>19</v>
      </c>
      <c r="O3" s="14">
        <v>98</v>
      </c>
      <c r="P3" s="14" t="s">
        <v>19</v>
      </c>
      <c r="Q3" s="14">
        <v>98</v>
      </c>
      <c r="R3" s="14" t="s">
        <v>5</v>
      </c>
      <c r="S3" s="14">
        <v>98</v>
      </c>
      <c r="T3" s="14" t="s">
        <v>4</v>
      </c>
      <c r="U3" s="14">
        <v>977</v>
      </c>
      <c r="V3" s="14" t="s">
        <v>20</v>
      </c>
      <c r="W3" s="14">
        <v>990</v>
      </c>
      <c r="X3" s="14" t="s">
        <v>21</v>
      </c>
      <c r="Y3" s="14">
        <v>852.5</v>
      </c>
      <c r="Z3" s="14" t="s">
        <v>14</v>
      </c>
      <c r="AA3" s="14">
        <v>98.5</v>
      </c>
      <c r="AB3" s="14" t="s">
        <v>22</v>
      </c>
      <c r="AC3" s="14">
        <v>93.5</v>
      </c>
      <c r="AD3" s="14" t="s">
        <v>23</v>
      </c>
      <c r="AE3" s="14">
        <v>9.5</v>
      </c>
      <c r="AF3" s="14" t="s">
        <v>14</v>
      </c>
      <c r="AG3" s="14">
        <v>98.5</v>
      </c>
      <c r="AH3" s="14" t="s">
        <v>4</v>
      </c>
      <c r="AI3" s="14">
        <v>993.55</v>
      </c>
      <c r="AJ3" s="14" t="s">
        <v>5</v>
      </c>
      <c r="AK3" s="14">
        <v>888.5</v>
      </c>
    </row>
    <row r="4" spans="1:37" ht="15.75" customHeight="1" x14ac:dyDescent="0.15">
      <c r="A4" s="14" t="s">
        <v>24</v>
      </c>
      <c r="B4" s="14" t="s">
        <v>19</v>
      </c>
      <c r="C4" s="14">
        <v>99</v>
      </c>
      <c r="D4" s="14" t="s">
        <v>3</v>
      </c>
      <c r="E4" s="14">
        <v>978.5</v>
      </c>
      <c r="F4" s="14" t="s">
        <v>25</v>
      </c>
      <c r="G4" s="14">
        <v>955.5</v>
      </c>
      <c r="H4" s="14" t="s">
        <v>12</v>
      </c>
      <c r="I4" s="14">
        <v>981.25</v>
      </c>
      <c r="J4" s="14" t="s">
        <v>14</v>
      </c>
      <c r="K4" s="14">
        <v>98</v>
      </c>
      <c r="L4" s="14" t="s">
        <v>26</v>
      </c>
      <c r="M4" s="14">
        <v>98</v>
      </c>
      <c r="N4" s="14" t="s">
        <v>7</v>
      </c>
      <c r="O4" s="14">
        <v>95</v>
      </c>
      <c r="P4" s="14" t="s">
        <v>4</v>
      </c>
      <c r="Q4" s="14">
        <v>9.5</v>
      </c>
      <c r="R4" s="14" t="s">
        <v>26</v>
      </c>
      <c r="S4" s="14">
        <v>99</v>
      </c>
      <c r="T4" s="14" t="s">
        <v>27</v>
      </c>
      <c r="U4" s="14">
        <v>99</v>
      </c>
      <c r="V4" s="14" t="s">
        <v>28</v>
      </c>
      <c r="W4" s="14">
        <v>933.59</v>
      </c>
      <c r="X4" s="14" t="s">
        <v>3</v>
      </c>
      <c r="Y4" s="14">
        <v>747.5</v>
      </c>
      <c r="Z4" s="14" t="s">
        <v>29</v>
      </c>
      <c r="AA4" s="14">
        <v>96.5</v>
      </c>
      <c r="AB4" s="14" t="s">
        <v>12</v>
      </c>
      <c r="AC4" s="14">
        <v>94.5</v>
      </c>
      <c r="AD4" s="14" t="s">
        <v>30</v>
      </c>
      <c r="AE4" s="14">
        <v>9.5</v>
      </c>
      <c r="AF4" s="14" t="s">
        <v>14</v>
      </c>
      <c r="AG4" s="14">
        <v>91.5</v>
      </c>
      <c r="AH4" s="14" t="s">
        <v>3</v>
      </c>
      <c r="AI4" s="14">
        <v>988.5</v>
      </c>
      <c r="AJ4" s="14" t="s">
        <v>3</v>
      </c>
      <c r="AK4" s="14">
        <v>9.6999999999999993</v>
      </c>
    </row>
    <row r="5" spans="1:37" ht="15" customHeight="1" x14ac:dyDescent="0.15">
      <c r="A5" s="14" t="s">
        <v>31</v>
      </c>
      <c r="B5" s="14" t="s">
        <v>7</v>
      </c>
      <c r="C5" s="14">
        <v>98</v>
      </c>
      <c r="D5" s="14" t="s">
        <v>32</v>
      </c>
      <c r="E5" s="14">
        <v>94</v>
      </c>
      <c r="F5" s="14" t="s">
        <v>7</v>
      </c>
      <c r="G5" s="14">
        <v>9686</v>
      </c>
      <c r="H5" s="14" t="s">
        <v>19</v>
      </c>
      <c r="I5" s="14">
        <v>99</v>
      </c>
      <c r="J5" s="14" t="s">
        <v>19</v>
      </c>
      <c r="K5" s="14">
        <v>99</v>
      </c>
      <c r="L5" s="14" t="s">
        <v>7</v>
      </c>
      <c r="M5" s="14">
        <v>9800</v>
      </c>
      <c r="N5" s="14" t="s">
        <v>7</v>
      </c>
      <c r="O5" s="14">
        <v>9860</v>
      </c>
      <c r="P5" s="14" t="s">
        <v>33</v>
      </c>
      <c r="Q5" s="14">
        <v>95</v>
      </c>
      <c r="R5" s="14" t="s">
        <v>25</v>
      </c>
      <c r="S5" s="14">
        <v>990</v>
      </c>
      <c r="T5" s="14" t="s">
        <v>34</v>
      </c>
      <c r="U5" s="14">
        <v>995</v>
      </c>
      <c r="V5" s="14" t="s">
        <v>35</v>
      </c>
      <c r="W5" s="14">
        <v>996.5</v>
      </c>
      <c r="X5" s="14" t="s">
        <v>7</v>
      </c>
      <c r="Y5" s="14">
        <v>9754.94</v>
      </c>
      <c r="Z5" s="14" t="s">
        <v>33</v>
      </c>
      <c r="AA5" s="14">
        <v>8.5</v>
      </c>
      <c r="AB5" s="14" t="s">
        <v>36</v>
      </c>
      <c r="AC5" s="14">
        <v>803.5</v>
      </c>
      <c r="AD5" s="14" t="s">
        <v>33</v>
      </c>
      <c r="AE5" s="14">
        <v>8.5</v>
      </c>
      <c r="AF5" s="14" t="s">
        <v>37</v>
      </c>
      <c r="AG5" s="14">
        <v>79.2</v>
      </c>
      <c r="AH5" s="14" t="s">
        <v>7</v>
      </c>
      <c r="AI5" s="14">
        <v>986.5</v>
      </c>
      <c r="AJ5" s="14" t="s">
        <v>25</v>
      </c>
      <c r="AK5" s="14">
        <v>9567.5400000000009</v>
      </c>
    </row>
    <row r="6" spans="1:37" ht="15.75" customHeight="1" x14ac:dyDescent="0.15">
      <c r="A6" s="14" t="s">
        <v>38</v>
      </c>
      <c r="B6" s="14" t="s">
        <v>39</v>
      </c>
      <c r="C6" s="14">
        <v>99.5</v>
      </c>
      <c r="D6" s="14" t="s">
        <v>7</v>
      </c>
      <c r="E6" s="14">
        <v>99.5</v>
      </c>
      <c r="F6" s="14" t="s">
        <v>40</v>
      </c>
      <c r="G6" s="14">
        <v>99</v>
      </c>
      <c r="H6" s="14" t="s">
        <v>5</v>
      </c>
      <c r="I6" s="14">
        <v>991</v>
      </c>
      <c r="J6" s="14" t="s">
        <v>39</v>
      </c>
      <c r="K6" s="14">
        <v>99</v>
      </c>
      <c r="L6" s="14" t="s">
        <v>4</v>
      </c>
      <c r="M6" s="14">
        <v>99.5</v>
      </c>
      <c r="N6" s="14" t="s">
        <v>5</v>
      </c>
      <c r="O6" s="14">
        <v>98</v>
      </c>
      <c r="P6" s="14" t="s">
        <v>40</v>
      </c>
      <c r="Q6" s="14">
        <v>99</v>
      </c>
      <c r="R6" s="14" t="s">
        <v>3</v>
      </c>
      <c r="S6" s="14">
        <v>99.5</v>
      </c>
      <c r="T6" s="14" t="s">
        <v>5</v>
      </c>
      <c r="U6" s="14">
        <v>985</v>
      </c>
      <c r="V6" s="14" t="s">
        <v>5</v>
      </c>
      <c r="W6" s="14">
        <v>988</v>
      </c>
      <c r="X6" s="14" t="s">
        <v>40</v>
      </c>
      <c r="Y6" s="14">
        <v>98.5</v>
      </c>
      <c r="Z6" s="14" t="s">
        <v>41</v>
      </c>
      <c r="AA6" s="14">
        <v>9.5</v>
      </c>
      <c r="AB6" s="14" t="s">
        <v>10</v>
      </c>
      <c r="AC6" s="14">
        <v>9.5</v>
      </c>
      <c r="AD6" s="14" t="s">
        <v>40</v>
      </c>
      <c r="AE6" s="14">
        <v>98.5</v>
      </c>
      <c r="AF6" s="14" t="s">
        <v>42</v>
      </c>
      <c r="AG6" s="14">
        <v>976.81</v>
      </c>
      <c r="AH6" s="14" t="s">
        <v>42</v>
      </c>
      <c r="AI6" s="14">
        <v>976.8</v>
      </c>
      <c r="AJ6" s="14" t="s">
        <v>18</v>
      </c>
      <c r="AK6" s="14">
        <v>990.72</v>
      </c>
    </row>
    <row r="7" spans="1:37" ht="15.75" customHeight="1" x14ac:dyDescent="0.15">
      <c r="A7" s="14" t="s">
        <v>43</v>
      </c>
      <c r="B7" s="14" t="s">
        <v>44</v>
      </c>
      <c r="C7" s="14">
        <v>99</v>
      </c>
      <c r="D7" s="14" t="s">
        <v>4</v>
      </c>
      <c r="E7" s="14">
        <v>95</v>
      </c>
      <c r="F7" s="14" t="s">
        <v>8</v>
      </c>
      <c r="G7" s="14">
        <v>98.5</v>
      </c>
      <c r="H7" s="14" t="s">
        <v>45</v>
      </c>
      <c r="I7" s="14">
        <v>99</v>
      </c>
      <c r="J7" s="14" t="s">
        <v>45</v>
      </c>
      <c r="K7" s="14">
        <v>99</v>
      </c>
      <c r="L7" s="14" t="s">
        <v>46</v>
      </c>
      <c r="M7" s="14">
        <v>990</v>
      </c>
      <c r="N7" s="14" t="s">
        <v>45</v>
      </c>
      <c r="O7" s="14">
        <v>98.85</v>
      </c>
      <c r="P7" s="14" t="s">
        <v>25</v>
      </c>
      <c r="Q7" s="14">
        <v>97</v>
      </c>
      <c r="R7" s="14" t="s">
        <v>26</v>
      </c>
      <c r="S7" s="14">
        <v>98</v>
      </c>
      <c r="T7" s="14" t="s">
        <v>47</v>
      </c>
      <c r="U7" s="14">
        <v>977</v>
      </c>
      <c r="V7" s="14" t="s">
        <v>7</v>
      </c>
      <c r="W7" s="14">
        <v>98.5</v>
      </c>
      <c r="X7" s="14" t="s">
        <v>47</v>
      </c>
      <c r="Y7" s="14">
        <v>8886.4</v>
      </c>
      <c r="Z7" s="14" t="s">
        <v>12</v>
      </c>
      <c r="AA7" s="14">
        <v>9.69</v>
      </c>
      <c r="AB7" s="14" t="s">
        <v>12</v>
      </c>
      <c r="AC7" s="14">
        <v>9.25</v>
      </c>
      <c r="AD7" s="14" t="s">
        <v>37</v>
      </c>
      <c r="AE7" s="14">
        <v>93.5</v>
      </c>
      <c r="AF7" s="14" t="s">
        <v>19</v>
      </c>
      <c r="AG7" s="14">
        <v>95.5</v>
      </c>
      <c r="AH7" s="14" t="s">
        <v>7</v>
      </c>
      <c r="AI7" s="14">
        <v>9.25</v>
      </c>
      <c r="AJ7" s="14" t="s">
        <v>47</v>
      </c>
      <c r="AK7" s="14">
        <v>982.5</v>
      </c>
    </row>
    <row r="8" spans="1:37" ht="15.75" customHeight="1" x14ac:dyDescent="0.15">
      <c r="A8" s="14" t="s">
        <v>48</v>
      </c>
      <c r="B8" s="14" t="s">
        <v>7</v>
      </c>
      <c r="C8" s="14">
        <v>990</v>
      </c>
      <c r="D8" s="14" t="s">
        <v>7</v>
      </c>
      <c r="E8" s="14">
        <v>990</v>
      </c>
      <c r="F8" s="14" t="s">
        <v>7</v>
      </c>
      <c r="G8" s="14">
        <v>990</v>
      </c>
      <c r="H8" s="14" t="s">
        <v>7</v>
      </c>
      <c r="I8" s="14">
        <v>9963.1</v>
      </c>
      <c r="J8" s="14" t="s">
        <v>49</v>
      </c>
      <c r="K8" s="14">
        <v>9900</v>
      </c>
      <c r="L8" s="14" t="s">
        <v>50</v>
      </c>
      <c r="M8" s="14">
        <v>985</v>
      </c>
      <c r="N8" s="14" t="s">
        <v>50</v>
      </c>
      <c r="O8" s="14">
        <v>995</v>
      </c>
      <c r="P8" s="14" t="s">
        <v>50</v>
      </c>
      <c r="Q8" s="14">
        <v>995</v>
      </c>
      <c r="R8" s="14" t="s">
        <v>50</v>
      </c>
      <c r="S8" s="14">
        <v>995</v>
      </c>
      <c r="T8" s="14" t="s">
        <v>7</v>
      </c>
      <c r="U8" s="14">
        <v>9987</v>
      </c>
      <c r="V8" s="14" t="s">
        <v>44</v>
      </c>
      <c r="W8" s="14">
        <v>99</v>
      </c>
      <c r="X8" s="14" t="s">
        <v>7</v>
      </c>
      <c r="Y8" s="14">
        <v>9799.7999999999993</v>
      </c>
      <c r="Z8" s="14" t="s">
        <v>7</v>
      </c>
      <c r="AA8" s="14">
        <v>97.75</v>
      </c>
      <c r="AB8" s="14" t="s">
        <v>7</v>
      </c>
      <c r="AC8" s="14">
        <v>97.5</v>
      </c>
      <c r="AD8" s="14" t="s">
        <v>50</v>
      </c>
      <c r="AE8" s="14">
        <v>92.25</v>
      </c>
      <c r="AF8" s="14" t="s">
        <v>44</v>
      </c>
      <c r="AG8" s="14">
        <v>972.99</v>
      </c>
      <c r="AH8" s="14" t="s">
        <v>51</v>
      </c>
      <c r="AI8" s="14">
        <v>99.5</v>
      </c>
      <c r="AJ8" s="14" t="s">
        <v>7</v>
      </c>
      <c r="AK8" s="14">
        <v>968.5</v>
      </c>
    </row>
    <row r="9" spans="1:37" ht="15.75" customHeight="1" x14ac:dyDescent="0.15">
      <c r="A9" s="14" t="s">
        <v>52</v>
      </c>
      <c r="B9" s="14" t="s">
        <v>53</v>
      </c>
      <c r="C9" s="14">
        <v>99</v>
      </c>
      <c r="D9" s="14" t="s">
        <v>40</v>
      </c>
      <c r="E9" s="14">
        <v>985</v>
      </c>
      <c r="F9" s="14" t="s">
        <v>3</v>
      </c>
      <c r="G9" s="14">
        <v>992</v>
      </c>
      <c r="H9" s="14" t="s">
        <v>54</v>
      </c>
      <c r="I9" s="14">
        <v>995.5</v>
      </c>
      <c r="J9" s="14" t="s">
        <v>54</v>
      </c>
      <c r="K9" s="14">
        <v>995.5</v>
      </c>
      <c r="L9" s="14" t="s">
        <v>55</v>
      </c>
      <c r="M9" s="14">
        <v>995.5</v>
      </c>
      <c r="N9" s="14" t="s">
        <v>7</v>
      </c>
      <c r="O9" s="14">
        <v>9850</v>
      </c>
      <c r="P9" s="14" t="s">
        <v>56</v>
      </c>
      <c r="Q9" s="14">
        <v>997.1</v>
      </c>
      <c r="R9" s="14" t="s">
        <v>57</v>
      </c>
      <c r="S9" s="14">
        <v>99</v>
      </c>
      <c r="T9" s="14" t="s">
        <v>8</v>
      </c>
      <c r="U9" s="14">
        <v>993</v>
      </c>
      <c r="V9" s="14" t="s">
        <v>5</v>
      </c>
      <c r="W9" s="14">
        <v>99</v>
      </c>
      <c r="X9" s="14" t="s">
        <v>50</v>
      </c>
      <c r="Y9" s="14">
        <v>980.5</v>
      </c>
      <c r="Z9" s="14" t="s">
        <v>8</v>
      </c>
      <c r="AA9" s="14">
        <v>982.4</v>
      </c>
      <c r="AB9" s="14" t="s">
        <v>54</v>
      </c>
      <c r="AC9" s="14">
        <v>990.5</v>
      </c>
      <c r="AD9" s="14" t="s">
        <v>21</v>
      </c>
      <c r="AE9" s="14">
        <v>99.9</v>
      </c>
      <c r="AF9" s="14" t="s">
        <v>40</v>
      </c>
      <c r="AG9" s="14">
        <v>99.75</v>
      </c>
      <c r="AH9" s="14" t="s">
        <v>18</v>
      </c>
      <c r="AI9" s="14">
        <v>9178.18</v>
      </c>
      <c r="AJ9" s="14" t="s">
        <v>18</v>
      </c>
      <c r="AK9" s="14">
        <v>8611.69</v>
      </c>
    </row>
    <row r="10" spans="1:37" ht="15.75" customHeight="1" x14ac:dyDescent="0.15">
      <c r="A10" s="14" t="s">
        <v>58</v>
      </c>
      <c r="B10" s="14" t="s">
        <v>8</v>
      </c>
      <c r="C10" s="14">
        <v>99</v>
      </c>
      <c r="D10" s="14" t="s">
        <v>59</v>
      </c>
      <c r="E10" s="14">
        <v>9</v>
      </c>
      <c r="F10" s="14" t="s">
        <v>60</v>
      </c>
      <c r="G10" s="14">
        <v>94</v>
      </c>
      <c r="H10" s="14" t="s">
        <v>8</v>
      </c>
      <c r="I10" s="14">
        <v>90</v>
      </c>
      <c r="J10" s="14" t="s">
        <v>50</v>
      </c>
      <c r="K10" s="14">
        <v>92.8</v>
      </c>
      <c r="L10" s="14" t="s">
        <v>50</v>
      </c>
      <c r="M10" s="14">
        <v>92.8</v>
      </c>
      <c r="N10" s="14" t="s">
        <v>50</v>
      </c>
      <c r="O10" s="14">
        <v>92.8</v>
      </c>
      <c r="P10" s="14" t="s">
        <v>61</v>
      </c>
      <c r="Q10" s="14">
        <v>94</v>
      </c>
      <c r="R10" s="14" t="s">
        <v>26</v>
      </c>
      <c r="S10" s="14">
        <v>90</v>
      </c>
      <c r="T10" s="14" t="s">
        <v>10</v>
      </c>
      <c r="U10" s="14">
        <v>95</v>
      </c>
      <c r="V10" s="14" t="s">
        <v>7</v>
      </c>
      <c r="W10" s="14">
        <v>907</v>
      </c>
      <c r="X10" s="14" t="s">
        <v>50</v>
      </c>
      <c r="Y10" s="14">
        <v>9.6</v>
      </c>
      <c r="Z10" s="14" t="s">
        <v>50</v>
      </c>
      <c r="AA10" s="14">
        <v>9.6999999999999993</v>
      </c>
      <c r="AB10" s="14" t="s">
        <v>50</v>
      </c>
      <c r="AC10" s="14">
        <v>9.9</v>
      </c>
      <c r="AD10" s="14" t="s">
        <v>62</v>
      </c>
      <c r="AE10" s="14">
        <v>9.9600000000000009</v>
      </c>
      <c r="AF10" s="14" t="s">
        <v>63</v>
      </c>
      <c r="AG10" s="14">
        <v>9.3000000000000007</v>
      </c>
      <c r="AH10" s="14" t="s">
        <v>62</v>
      </c>
      <c r="AI10" s="14">
        <v>9.09</v>
      </c>
      <c r="AJ10" s="14" t="s">
        <v>62</v>
      </c>
      <c r="AK10" s="14">
        <v>9.08</v>
      </c>
    </row>
    <row r="11" spans="1:37" ht="15.75" customHeight="1" x14ac:dyDescent="0.15">
      <c r="A11" s="14" t="s">
        <v>64</v>
      </c>
      <c r="B11" s="14" t="s">
        <v>50</v>
      </c>
      <c r="C11" s="14">
        <v>9848</v>
      </c>
      <c r="D11" s="14" t="s">
        <v>7</v>
      </c>
      <c r="E11" s="14">
        <v>9974</v>
      </c>
      <c r="F11" s="14" t="s">
        <v>7</v>
      </c>
      <c r="G11" s="14">
        <v>980</v>
      </c>
      <c r="H11" s="14" t="s">
        <v>65</v>
      </c>
      <c r="I11" s="14">
        <v>995</v>
      </c>
      <c r="J11" s="14" t="s">
        <v>7</v>
      </c>
      <c r="K11" s="14">
        <v>993</v>
      </c>
      <c r="L11" s="14" t="s">
        <v>66</v>
      </c>
      <c r="M11" s="14">
        <v>992</v>
      </c>
      <c r="N11" s="14" t="s">
        <v>37</v>
      </c>
      <c r="O11" s="14">
        <v>99</v>
      </c>
      <c r="P11" s="14" t="s">
        <v>5</v>
      </c>
      <c r="Q11" s="14">
        <v>980</v>
      </c>
      <c r="R11" s="14" t="s">
        <v>10</v>
      </c>
      <c r="S11" s="14">
        <v>99</v>
      </c>
      <c r="T11" s="14" t="s">
        <v>50</v>
      </c>
      <c r="U11" s="14">
        <v>9988.7999999999993</v>
      </c>
      <c r="V11" s="14" t="s">
        <v>7</v>
      </c>
      <c r="W11" s="14">
        <v>999.5</v>
      </c>
      <c r="X11" s="14" t="s">
        <v>50</v>
      </c>
      <c r="Y11" s="14">
        <v>9802.3700000000008</v>
      </c>
      <c r="Z11" s="14" t="s">
        <v>7</v>
      </c>
      <c r="AA11" s="14">
        <v>989.75</v>
      </c>
      <c r="AB11" s="14" t="s">
        <v>4</v>
      </c>
      <c r="AC11" s="14">
        <v>998.9</v>
      </c>
      <c r="AD11" s="14" t="s">
        <v>10</v>
      </c>
      <c r="AE11" s="14">
        <v>99.5</v>
      </c>
      <c r="AF11" s="14" t="s">
        <v>5</v>
      </c>
      <c r="AG11" s="14">
        <v>90.5</v>
      </c>
      <c r="AH11" s="14" t="s">
        <v>28</v>
      </c>
      <c r="AI11" s="14">
        <v>9.5</v>
      </c>
      <c r="AJ11" s="14" t="s">
        <v>18</v>
      </c>
      <c r="AK11" s="14">
        <v>929.3</v>
      </c>
    </row>
    <row r="12" spans="1:37" ht="15.75" customHeight="1" x14ac:dyDescent="0.15">
      <c r="A12" s="14" t="s">
        <v>67</v>
      </c>
      <c r="B12" s="14" t="s">
        <v>7</v>
      </c>
      <c r="C12" s="14">
        <v>997</v>
      </c>
      <c r="D12" s="14" t="s">
        <v>68</v>
      </c>
      <c r="E12" s="14">
        <v>99</v>
      </c>
      <c r="F12" s="14" t="s">
        <v>50</v>
      </c>
      <c r="G12" s="14">
        <v>991</v>
      </c>
      <c r="H12" s="14" t="s">
        <v>7</v>
      </c>
      <c r="I12" s="14">
        <v>989</v>
      </c>
      <c r="J12" s="14" t="s">
        <v>7</v>
      </c>
      <c r="K12" s="14">
        <v>9739</v>
      </c>
      <c r="L12" s="14" t="s">
        <v>7</v>
      </c>
      <c r="M12" s="14">
        <v>999.54</v>
      </c>
      <c r="N12" s="14" t="s">
        <v>69</v>
      </c>
      <c r="O12" s="14">
        <v>99</v>
      </c>
      <c r="P12" s="14" t="s">
        <v>5</v>
      </c>
      <c r="Q12" s="14">
        <v>99</v>
      </c>
      <c r="R12" s="14" t="s">
        <v>70</v>
      </c>
      <c r="S12" s="14">
        <v>99</v>
      </c>
      <c r="T12" s="14" t="s">
        <v>25</v>
      </c>
      <c r="U12" s="14">
        <v>9800</v>
      </c>
      <c r="V12" s="14" t="s">
        <v>50</v>
      </c>
      <c r="W12" s="14">
        <v>990</v>
      </c>
      <c r="X12" s="14" t="s">
        <v>25</v>
      </c>
      <c r="Y12" s="14">
        <v>951.5</v>
      </c>
      <c r="Z12" s="14" t="s">
        <v>65</v>
      </c>
      <c r="AA12" s="14">
        <v>946.5</v>
      </c>
      <c r="AB12" s="14" t="s">
        <v>65</v>
      </c>
      <c r="AC12" s="14">
        <v>986.5</v>
      </c>
      <c r="AD12" s="14" t="s">
        <v>57</v>
      </c>
      <c r="AE12" s="14">
        <v>99.5</v>
      </c>
      <c r="AF12" s="14" t="s">
        <v>12</v>
      </c>
      <c r="AG12" s="14">
        <v>99.73</v>
      </c>
      <c r="AH12" s="14" t="s">
        <v>23</v>
      </c>
      <c r="AI12" s="14">
        <v>90.5</v>
      </c>
      <c r="AJ12" s="14" t="s">
        <v>71</v>
      </c>
      <c r="AK12" s="14">
        <v>8.5</v>
      </c>
    </row>
    <row r="13" spans="1:37" ht="15.75" customHeight="1" x14ac:dyDescent="0.15">
      <c r="A13" s="14" t="s">
        <v>72</v>
      </c>
      <c r="B13" s="14" t="s">
        <v>73</v>
      </c>
      <c r="C13" s="14">
        <v>99</v>
      </c>
      <c r="D13" s="14" t="s">
        <v>7</v>
      </c>
      <c r="E13" s="14">
        <v>9990</v>
      </c>
      <c r="F13" s="14" t="s">
        <v>7</v>
      </c>
      <c r="G13" s="14">
        <v>990</v>
      </c>
      <c r="H13" s="14" t="s">
        <v>7</v>
      </c>
      <c r="I13" s="14">
        <v>990</v>
      </c>
      <c r="J13" s="14" t="s">
        <v>7</v>
      </c>
      <c r="K13" s="14">
        <v>990</v>
      </c>
      <c r="L13" s="14" t="s">
        <v>7</v>
      </c>
      <c r="M13" s="14">
        <v>995</v>
      </c>
      <c r="N13" s="14" t="s">
        <v>44</v>
      </c>
      <c r="O13" s="14">
        <v>99</v>
      </c>
      <c r="P13" s="14" t="s">
        <v>7</v>
      </c>
      <c r="Q13" s="14">
        <v>9965</v>
      </c>
      <c r="R13" s="14" t="s">
        <v>7</v>
      </c>
      <c r="S13" s="14">
        <v>994</v>
      </c>
      <c r="T13" s="14" t="s">
        <v>7</v>
      </c>
      <c r="U13" s="14">
        <v>998</v>
      </c>
      <c r="V13" s="14" t="s">
        <v>7</v>
      </c>
      <c r="W13" s="14">
        <v>996</v>
      </c>
      <c r="X13" s="14" t="s">
        <v>7</v>
      </c>
      <c r="Y13" s="14">
        <v>9317.6</v>
      </c>
      <c r="Z13" s="14" t="s">
        <v>7</v>
      </c>
      <c r="AA13" s="14">
        <v>9790.07</v>
      </c>
      <c r="AB13" s="14" t="s">
        <v>7</v>
      </c>
      <c r="AC13" s="14">
        <v>9979.2000000000007</v>
      </c>
      <c r="AD13" s="14" t="s">
        <v>74</v>
      </c>
      <c r="AE13" s="14">
        <v>98.37</v>
      </c>
      <c r="AF13" s="14" t="s">
        <v>7</v>
      </c>
      <c r="AG13" s="14">
        <v>996.44</v>
      </c>
      <c r="AH13" s="14" t="s">
        <v>74</v>
      </c>
      <c r="AI13" s="14">
        <v>99.56</v>
      </c>
      <c r="AJ13" s="14" t="s">
        <v>74</v>
      </c>
      <c r="AK13" s="14">
        <v>99.54</v>
      </c>
    </row>
    <row r="14" spans="1:37" ht="15.75" customHeight="1" x14ac:dyDescent="0.15">
      <c r="A14" s="14" t="s">
        <v>75</v>
      </c>
      <c r="B14" s="14" t="s">
        <v>57</v>
      </c>
      <c r="C14" s="14">
        <v>988</v>
      </c>
      <c r="D14" s="14" t="s">
        <v>49</v>
      </c>
      <c r="E14" s="14">
        <v>985</v>
      </c>
      <c r="F14" s="14" t="s">
        <v>49</v>
      </c>
      <c r="G14" s="14">
        <v>985</v>
      </c>
      <c r="H14" s="14" t="s">
        <v>49</v>
      </c>
      <c r="I14" s="14">
        <v>985</v>
      </c>
      <c r="J14" s="14" t="s">
        <v>19</v>
      </c>
      <c r="K14" s="14">
        <v>99</v>
      </c>
      <c r="L14" s="14" t="s">
        <v>19</v>
      </c>
      <c r="M14" s="14">
        <v>99</v>
      </c>
      <c r="N14" s="14" t="s">
        <v>7</v>
      </c>
      <c r="O14" s="14">
        <v>99</v>
      </c>
      <c r="P14" s="14" t="s">
        <v>7</v>
      </c>
      <c r="Q14" s="14">
        <v>986</v>
      </c>
      <c r="R14" s="14" t="s">
        <v>76</v>
      </c>
      <c r="S14" s="14">
        <v>990</v>
      </c>
      <c r="T14" s="14" t="s">
        <v>76</v>
      </c>
      <c r="U14" s="14">
        <v>990</v>
      </c>
      <c r="V14" s="14" t="s">
        <v>65</v>
      </c>
      <c r="W14" s="14">
        <v>997</v>
      </c>
      <c r="X14" s="14" t="s">
        <v>7</v>
      </c>
      <c r="Y14" s="14">
        <v>93.3</v>
      </c>
      <c r="Z14" s="14" t="s">
        <v>6</v>
      </c>
      <c r="AA14" s="14">
        <v>93.5</v>
      </c>
      <c r="AB14" s="14" t="s">
        <v>77</v>
      </c>
      <c r="AC14" s="14">
        <v>9.5</v>
      </c>
      <c r="AD14" s="14" t="s">
        <v>7</v>
      </c>
      <c r="AE14" s="14">
        <v>96.5</v>
      </c>
      <c r="AF14" s="14" t="s">
        <v>7</v>
      </c>
      <c r="AG14" s="14">
        <v>963.79</v>
      </c>
      <c r="AH14" s="14" t="s">
        <v>7</v>
      </c>
      <c r="AI14" s="14">
        <v>95.24</v>
      </c>
      <c r="AJ14" s="14" t="s">
        <v>50</v>
      </c>
      <c r="AK14" s="14">
        <v>98.75</v>
      </c>
    </row>
    <row r="15" spans="1:37" ht="15.75" customHeight="1" x14ac:dyDescent="0.15">
      <c r="A15" s="14" t="s">
        <v>78</v>
      </c>
      <c r="B15" s="14" t="s">
        <v>7</v>
      </c>
      <c r="C15" s="14">
        <v>9982</v>
      </c>
      <c r="D15" s="14" t="s">
        <v>10</v>
      </c>
      <c r="E15" s="14">
        <v>998.53</v>
      </c>
      <c r="F15" s="14" t="s">
        <v>7</v>
      </c>
      <c r="G15" s="14">
        <v>996</v>
      </c>
      <c r="H15" s="14" t="s">
        <v>25</v>
      </c>
      <c r="I15" s="14">
        <v>9950</v>
      </c>
      <c r="J15" s="14" t="s">
        <v>5</v>
      </c>
      <c r="K15" s="14">
        <v>998</v>
      </c>
      <c r="L15" s="14" t="s">
        <v>79</v>
      </c>
      <c r="M15" s="14">
        <v>998.5</v>
      </c>
      <c r="N15" s="14" t="s">
        <v>79</v>
      </c>
      <c r="O15" s="14">
        <v>992</v>
      </c>
      <c r="P15" s="14" t="s">
        <v>79</v>
      </c>
      <c r="Q15" s="14">
        <v>995</v>
      </c>
      <c r="R15" s="14" t="s">
        <v>10</v>
      </c>
      <c r="S15" s="14">
        <v>9988</v>
      </c>
      <c r="T15" s="14" t="s">
        <v>10</v>
      </c>
      <c r="U15" s="14">
        <v>9965</v>
      </c>
      <c r="V15" s="14" t="s">
        <v>10</v>
      </c>
      <c r="W15" s="14">
        <v>9980.5</v>
      </c>
      <c r="X15" s="14" t="s">
        <v>8</v>
      </c>
      <c r="Y15" s="14">
        <v>990.23</v>
      </c>
      <c r="Z15" s="14" t="s">
        <v>50</v>
      </c>
      <c r="AA15" s="14">
        <v>99.48</v>
      </c>
      <c r="AB15" s="14" t="s">
        <v>80</v>
      </c>
      <c r="AC15" s="14">
        <v>98.66</v>
      </c>
      <c r="AD15" s="14" t="s">
        <v>81</v>
      </c>
      <c r="AE15" s="14">
        <v>986.5</v>
      </c>
      <c r="AF15" s="14" t="s">
        <v>81</v>
      </c>
      <c r="AG15" s="14">
        <v>988.5</v>
      </c>
      <c r="AH15" s="14" t="s">
        <v>25</v>
      </c>
      <c r="AI15" s="14">
        <v>99.25</v>
      </c>
      <c r="AJ15" s="14" t="s">
        <v>37</v>
      </c>
      <c r="AK15" s="14">
        <v>996.7</v>
      </c>
    </row>
    <row r="16" spans="1:37" ht="15.75" customHeight="1" x14ac:dyDescent="0.15">
      <c r="A16" s="14" t="s">
        <v>82</v>
      </c>
      <c r="B16" s="14" t="s">
        <v>7</v>
      </c>
      <c r="C16" s="14">
        <v>990</v>
      </c>
      <c r="D16" s="14" t="s">
        <v>10</v>
      </c>
      <c r="E16" s="14">
        <v>99</v>
      </c>
      <c r="F16" s="14" t="s">
        <v>83</v>
      </c>
      <c r="G16" s="14">
        <v>993</v>
      </c>
      <c r="H16" s="14" t="s">
        <v>10</v>
      </c>
      <c r="I16" s="14">
        <v>99</v>
      </c>
      <c r="J16" s="14" t="s">
        <v>65</v>
      </c>
      <c r="K16" s="14">
        <v>990</v>
      </c>
      <c r="L16" s="14" t="s">
        <v>7</v>
      </c>
      <c r="M16" s="14">
        <v>9982.7000000000007</v>
      </c>
      <c r="N16" s="14" t="s">
        <v>7</v>
      </c>
      <c r="O16" s="14">
        <v>9968.7000000000007</v>
      </c>
      <c r="P16" s="14" t="s">
        <v>57</v>
      </c>
      <c r="Q16" s="14">
        <v>99</v>
      </c>
      <c r="R16" s="14" t="s">
        <v>7</v>
      </c>
      <c r="S16" s="14">
        <v>988</v>
      </c>
      <c r="T16" s="14" t="s">
        <v>84</v>
      </c>
      <c r="U16" s="14">
        <v>98</v>
      </c>
      <c r="V16" s="14" t="s">
        <v>7</v>
      </c>
      <c r="W16" s="14">
        <v>99.7</v>
      </c>
      <c r="X16" s="14" t="s">
        <v>85</v>
      </c>
      <c r="Y16" s="14">
        <v>98.11</v>
      </c>
      <c r="Z16" s="14" t="s">
        <v>8</v>
      </c>
      <c r="AA16" s="14">
        <v>99.2</v>
      </c>
      <c r="AB16" s="14" t="s">
        <v>7</v>
      </c>
      <c r="AC16" s="14">
        <v>9968.5</v>
      </c>
      <c r="AD16" s="14" t="s">
        <v>21</v>
      </c>
      <c r="AE16" s="14">
        <v>95.3</v>
      </c>
      <c r="AF16" s="14" t="s">
        <v>8</v>
      </c>
      <c r="AG16" s="14">
        <v>98.83</v>
      </c>
      <c r="AH16" s="14" t="s">
        <v>26</v>
      </c>
      <c r="AI16" s="14">
        <v>993.1</v>
      </c>
      <c r="AJ16" s="14" t="s">
        <v>50</v>
      </c>
      <c r="AK16" s="14">
        <v>99.5</v>
      </c>
    </row>
    <row r="17" spans="1:37" ht="15.75" customHeight="1" x14ac:dyDescent="0.15">
      <c r="A17" s="14" t="s">
        <v>86</v>
      </c>
      <c r="B17" s="14" t="s">
        <v>87</v>
      </c>
      <c r="C17" s="14">
        <v>98</v>
      </c>
      <c r="D17" s="14" t="s">
        <v>7</v>
      </c>
      <c r="E17" s="14">
        <v>998</v>
      </c>
      <c r="F17" s="14" t="s">
        <v>5</v>
      </c>
      <c r="G17" s="14">
        <v>99</v>
      </c>
      <c r="H17" s="14" t="s">
        <v>7</v>
      </c>
      <c r="I17" s="14">
        <v>980</v>
      </c>
      <c r="J17" s="14" t="s">
        <v>25</v>
      </c>
      <c r="K17" s="14">
        <v>997</v>
      </c>
      <c r="L17" s="14" t="s">
        <v>70</v>
      </c>
      <c r="M17" s="14">
        <v>996</v>
      </c>
      <c r="N17" s="14" t="s">
        <v>65</v>
      </c>
      <c r="O17" s="14">
        <v>99</v>
      </c>
      <c r="P17" s="14" t="s">
        <v>7</v>
      </c>
      <c r="Q17" s="14">
        <v>998</v>
      </c>
      <c r="R17" s="14" t="s">
        <v>5</v>
      </c>
      <c r="S17" s="14">
        <v>99</v>
      </c>
      <c r="T17" s="14" t="s">
        <v>7</v>
      </c>
      <c r="U17" s="14">
        <v>994</v>
      </c>
      <c r="V17" s="14" t="s">
        <v>88</v>
      </c>
      <c r="W17" s="14">
        <v>999</v>
      </c>
      <c r="X17" s="14" t="s">
        <v>46</v>
      </c>
      <c r="Y17" s="14">
        <v>960.6</v>
      </c>
      <c r="Z17" s="14" t="s">
        <v>46</v>
      </c>
      <c r="AA17" s="14">
        <v>920.62</v>
      </c>
      <c r="AB17" s="14" t="s">
        <v>89</v>
      </c>
      <c r="AC17" s="14">
        <v>91.5</v>
      </c>
      <c r="AD17" s="14" t="s">
        <v>5</v>
      </c>
      <c r="AE17" s="14">
        <v>99.4</v>
      </c>
      <c r="AF17" s="14" t="s">
        <v>50</v>
      </c>
      <c r="AG17" s="14">
        <v>98.8</v>
      </c>
      <c r="AH17" s="14" t="s">
        <v>5</v>
      </c>
      <c r="AI17" s="14">
        <v>98.4</v>
      </c>
      <c r="AJ17" s="14" t="s">
        <v>25</v>
      </c>
      <c r="AK17" s="14">
        <v>98.22</v>
      </c>
    </row>
    <row r="18" spans="1:37" ht="15.75" customHeight="1" x14ac:dyDescent="0.15">
      <c r="A18" s="14" t="s">
        <v>90</v>
      </c>
      <c r="B18" s="14" t="s">
        <v>91</v>
      </c>
      <c r="C18" s="14">
        <v>99</v>
      </c>
      <c r="D18" s="14" t="s">
        <v>25</v>
      </c>
      <c r="E18" s="14">
        <v>985</v>
      </c>
      <c r="F18" s="14" t="s">
        <v>25</v>
      </c>
      <c r="G18" s="14">
        <v>99</v>
      </c>
      <c r="H18" s="14" t="s">
        <v>25</v>
      </c>
      <c r="I18" s="14">
        <v>98</v>
      </c>
      <c r="J18" s="14" t="s">
        <v>7</v>
      </c>
      <c r="K18" s="14">
        <v>999</v>
      </c>
      <c r="L18" s="14" t="s">
        <v>26</v>
      </c>
      <c r="M18" s="14">
        <v>99</v>
      </c>
      <c r="N18" s="14" t="s">
        <v>93</v>
      </c>
      <c r="O18" s="14">
        <v>99</v>
      </c>
      <c r="P18" s="14" t="s">
        <v>53</v>
      </c>
      <c r="Q18" s="14">
        <v>98</v>
      </c>
      <c r="R18" s="14" t="s">
        <v>7</v>
      </c>
      <c r="S18" s="14">
        <v>99.7</v>
      </c>
      <c r="T18" s="14" t="s">
        <v>26</v>
      </c>
      <c r="U18" s="14">
        <v>99.9</v>
      </c>
      <c r="V18" s="14" t="s">
        <v>7</v>
      </c>
      <c r="W18" s="14">
        <v>997.7</v>
      </c>
      <c r="X18" s="14" t="s">
        <v>25</v>
      </c>
      <c r="Y18" s="14">
        <v>923</v>
      </c>
      <c r="Z18" s="14" t="s">
        <v>94</v>
      </c>
      <c r="AA18" s="14">
        <v>94.5</v>
      </c>
      <c r="AB18" s="14" t="s">
        <v>95</v>
      </c>
      <c r="AC18" s="14">
        <v>94.2</v>
      </c>
      <c r="AD18" s="14" t="s">
        <v>95</v>
      </c>
      <c r="AE18" s="14">
        <v>9.5</v>
      </c>
      <c r="AF18" s="14" t="s">
        <v>93</v>
      </c>
      <c r="AG18" s="14">
        <v>9.5</v>
      </c>
      <c r="AH18" s="14" t="s">
        <v>26</v>
      </c>
      <c r="AI18" s="14">
        <v>99.91</v>
      </c>
      <c r="AJ18" s="14" t="s">
        <v>93</v>
      </c>
      <c r="AK18" s="14">
        <v>9.5</v>
      </c>
    </row>
    <row r="19" spans="1:37" ht="15.75" customHeight="1" x14ac:dyDescent="0.15">
      <c r="A19" s="14" t="s">
        <v>96</v>
      </c>
      <c r="B19" s="14" t="s">
        <v>97</v>
      </c>
      <c r="C19" s="14">
        <v>986</v>
      </c>
      <c r="D19" s="14" t="s">
        <v>49</v>
      </c>
      <c r="E19" s="14">
        <v>986</v>
      </c>
      <c r="F19" s="14" t="s">
        <v>49</v>
      </c>
      <c r="G19" s="14">
        <v>986</v>
      </c>
      <c r="H19" s="14" t="s">
        <v>7</v>
      </c>
      <c r="I19" s="14">
        <v>998</v>
      </c>
      <c r="J19" s="14" t="s">
        <v>49</v>
      </c>
      <c r="K19" s="14">
        <v>986</v>
      </c>
      <c r="L19" s="14" t="s">
        <v>10</v>
      </c>
      <c r="M19" s="14">
        <v>99</v>
      </c>
      <c r="N19" s="14" t="s">
        <v>10</v>
      </c>
      <c r="O19" s="14">
        <v>99</v>
      </c>
      <c r="P19" s="14" t="s">
        <v>10</v>
      </c>
      <c r="Q19" s="14">
        <v>99</v>
      </c>
      <c r="R19" s="14" t="s">
        <v>10</v>
      </c>
      <c r="S19" s="14">
        <v>991.8</v>
      </c>
      <c r="T19" s="14" t="s">
        <v>34</v>
      </c>
      <c r="U19" s="14">
        <v>990</v>
      </c>
      <c r="V19" s="14" t="s">
        <v>50</v>
      </c>
      <c r="W19" s="14">
        <v>998</v>
      </c>
      <c r="X19" s="14" t="s">
        <v>98</v>
      </c>
      <c r="Y19" s="14">
        <v>98.5</v>
      </c>
      <c r="Z19" s="14" t="s">
        <v>49</v>
      </c>
      <c r="AA19" s="14">
        <v>905.54</v>
      </c>
      <c r="AB19" s="14" t="s">
        <v>49</v>
      </c>
      <c r="AC19" s="14">
        <v>900.65</v>
      </c>
      <c r="AD19" s="14" t="s">
        <v>99</v>
      </c>
      <c r="AE19" s="14">
        <v>9.9</v>
      </c>
      <c r="AF19" s="14" t="s">
        <v>93</v>
      </c>
      <c r="AG19" s="14">
        <v>9.75</v>
      </c>
      <c r="AH19" s="14" t="s">
        <v>19</v>
      </c>
      <c r="AI19" s="14">
        <v>9.75</v>
      </c>
      <c r="AJ19" s="14" t="s">
        <v>99</v>
      </c>
      <c r="AK19" s="14">
        <v>9.9</v>
      </c>
    </row>
    <row r="20" spans="1:37" ht="15.75" customHeight="1" x14ac:dyDescent="0.15">
      <c r="A20" s="14" t="s">
        <v>100</v>
      </c>
      <c r="B20" s="15" t="s">
        <v>17</v>
      </c>
      <c r="C20" s="14">
        <v>994.5</v>
      </c>
      <c r="D20" s="14" t="s">
        <v>10</v>
      </c>
      <c r="E20" s="14">
        <v>994.5</v>
      </c>
      <c r="F20" s="14" t="s">
        <v>19</v>
      </c>
      <c r="G20" s="14">
        <v>98</v>
      </c>
      <c r="H20" s="14" t="s">
        <v>10</v>
      </c>
      <c r="I20" s="14">
        <v>991.8</v>
      </c>
      <c r="J20" s="14" t="s">
        <v>10</v>
      </c>
      <c r="K20" s="14">
        <v>991.8</v>
      </c>
      <c r="L20" s="14" t="s">
        <v>10</v>
      </c>
      <c r="M20" s="14">
        <v>991.8</v>
      </c>
      <c r="N20" s="14" t="s">
        <v>10</v>
      </c>
      <c r="O20" s="14">
        <v>991.8</v>
      </c>
      <c r="P20" s="14" t="s">
        <v>10</v>
      </c>
      <c r="Q20" s="14">
        <v>991.8</v>
      </c>
      <c r="R20" s="14" t="s">
        <v>10</v>
      </c>
      <c r="S20" s="14">
        <v>991.8</v>
      </c>
      <c r="T20" s="14" t="s">
        <v>10</v>
      </c>
      <c r="U20" s="14">
        <v>991.8</v>
      </c>
      <c r="V20" s="14" t="s">
        <v>10</v>
      </c>
      <c r="W20" s="14">
        <v>991.8</v>
      </c>
      <c r="X20" s="14" t="s">
        <v>101</v>
      </c>
      <c r="Y20" s="14">
        <v>889.5</v>
      </c>
      <c r="Z20" s="14" t="s">
        <v>4</v>
      </c>
      <c r="AA20" s="14">
        <v>98.9</v>
      </c>
      <c r="AB20" s="14" t="s">
        <v>25</v>
      </c>
      <c r="AC20" s="14">
        <v>972.7</v>
      </c>
      <c r="AD20" s="15" t="s">
        <v>7</v>
      </c>
      <c r="AE20" s="14">
        <v>96.9</v>
      </c>
      <c r="AF20" s="14" t="s">
        <v>5</v>
      </c>
      <c r="AG20" s="14">
        <v>8.5</v>
      </c>
      <c r="AH20" s="14" t="s">
        <v>40</v>
      </c>
      <c r="AI20" s="14">
        <v>9.1999999999999993</v>
      </c>
      <c r="AJ20" s="14" t="s">
        <v>40</v>
      </c>
      <c r="AK20" s="14">
        <v>68.5</v>
      </c>
    </row>
    <row r="21" spans="1:37" ht="15.75" customHeight="1" x14ac:dyDescent="0.15">
      <c r="A21" s="14" t="s">
        <v>102</v>
      </c>
      <c r="B21" s="14" t="s">
        <v>97</v>
      </c>
      <c r="C21" s="14">
        <v>9979</v>
      </c>
      <c r="D21" s="14" t="s">
        <v>7</v>
      </c>
      <c r="E21" s="14">
        <v>996</v>
      </c>
      <c r="F21" s="14" t="s">
        <v>7</v>
      </c>
      <c r="G21" s="14">
        <v>995</v>
      </c>
      <c r="H21" s="14" t="s">
        <v>7</v>
      </c>
      <c r="I21" s="14">
        <v>990</v>
      </c>
      <c r="J21" s="14" t="s">
        <v>57</v>
      </c>
      <c r="K21" s="14">
        <v>99</v>
      </c>
      <c r="L21" s="14" t="s">
        <v>7</v>
      </c>
      <c r="M21" s="14">
        <v>986</v>
      </c>
      <c r="N21" s="14" t="s">
        <v>49</v>
      </c>
      <c r="O21" s="14">
        <v>990</v>
      </c>
      <c r="P21" s="14" t="s">
        <v>7</v>
      </c>
      <c r="Q21" s="14">
        <v>991</v>
      </c>
      <c r="R21" s="14" t="s">
        <v>10</v>
      </c>
      <c r="S21" s="14">
        <v>9950</v>
      </c>
      <c r="T21" s="14" t="s">
        <v>49</v>
      </c>
      <c r="U21" s="14">
        <v>992.42</v>
      </c>
      <c r="V21" s="14" t="s">
        <v>7</v>
      </c>
      <c r="W21" s="14">
        <v>998</v>
      </c>
      <c r="X21" s="14" t="s">
        <v>49</v>
      </c>
      <c r="Y21" s="14">
        <v>992.42</v>
      </c>
      <c r="Z21" s="14" t="s">
        <v>7</v>
      </c>
      <c r="AA21" s="14">
        <v>98.5</v>
      </c>
      <c r="AB21" s="14" t="s">
        <v>7</v>
      </c>
      <c r="AC21" s="14">
        <v>984.5</v>
      </c>
      <c r="AD21" s="14" t="s">
        <v>7</v>
      </c>
      <c r="AE21" s="14">
        <v>992.25</v>
      </c>
      <c r="AF21" s="14" t="s">
        <v>50</v>
      </c>
      <c r="AG21" s="14">
        <v>99.3</v>
      </c>
      <c r="AH21" s="14" t="s">
        <v>7</v>
      </c>
      <c r="AI21" s="14">
        <v>99.8</v>
      </c>
      <c r="AJ21" s="14" t="s">
        <v>50</v>
      </c>
      <c r="AK21" s="14">
        <v>99.01</v>
      </c>
    </row>
    <row r="22" spans="1:37" ht="15.75" customHeight="1" x14ac:dyDescent="0.15">
      <c r="A22" s="14" t="s">
        <v>103</v>
      </c>
      <c r="B22" s="14" t="s">
        <v>69</v>
      </c>
      <c r="C22" s="16">
        <v>99</v>
      </c>
      <c r="D22" s="14" t="s">
        <v>7</v>
      </c>
      <c r="E22" s="14">
        <v>990</v>
      </c>
      <c r="F22" s="14" t="s">
        <v>7</v>
      </c>
      <c r="G22" s="14">
        <v>987</v>
      </c>
      <c r="H22" s="14" t="s">
        <v>105</v>
      </c>
      <c r="I22" s="14">
        <v>998</v>
      </c>
      <c r="J22" s="14" t="s">
        <v>105</v>
      </c>
      <c r="K22" s="14">
        <v>998</v>
      </c>
      <c r="L22" s="14" t="s">
        <v>7</v>
      </c>
      <c r="M22" s="14">
        <v>995</v>
      </c>
      <c r="N22" s="14" t="s">
        <v>7</v>
      </c>
      <c r="O22" s="14">
        <v>987</v>
      </c>
      <c r="P22" s="14" t="s">
        <v>7</v>
      </c>
      <c r="Q22" s="14">
        <v>990</v>
      </c>
      <c r="R22" s="14" t="s">
        <v>7</v>
      </c>
      <c r="S22" s="14">
        <v>990</v>
      </c>
      <c r="T22" s="14" t="s">
        <v>106</v>
      </c>
      <c r="U22" s="14">
        <v>990</v>
      </c>
      <c r="V22" s="14" t="s">
        <v>7</v>
      </c>
      <c r="W22" s="14">
        <v>998.9</v>
      </c>
      <c r="X22" s="14" t="s">
        <v>7</v>
      </c>
      <c r="Y22" s="14">
        <v>9826.5</v>
      </c>
      <c r="Z22" s="14" t="s">
        <v>107</v>
      </c>
      <c r="AA22" s="14">
        <v>99.5</v>
      </c>
      <c r="AB22" s="14" t="s">
        <v>50</v>
      </c>
      <c r="AC22" s="14">
        <v>99.1</v>
      </c>
      <c r="AD22" s="14" t="s">
        <v>91</v>
      </c>
      <c r="AE22" s="16">
        <v>98.54</v>
      </c>
      <c r="AF22" s="14" t="s">
        <v>50</v>
      </c>
      <c r="AG22" s="14">
        <v>984.67</v>
      </c>
      <c r="AH22" s="14" t="s">
        <v>50</v>
      </c>
      <c r="AI22" s="14">
        <v>99.2</v>
      </c>
      <c r="AJ22" s="14" t="s">
        <v>108</v>
      </c>
      <c r="AK22" s="14">
        <v>99.69</v>
      </c>
    </row>
    <row r="23" spans="1:37" ht="15.75" customHeight="1" x14ac:dyDescent="0.15">
      <c r="A23" s="14" t="s">
        <v>109</v>
      </c>
      <c r="B23" s="14" t="s">
        <v>5</v>
      </c>
      <c r="C23" s="14">
        <v>95</v>
      </c>
      <c r="D23" s="14" t="s">
        <v>7</v>
      </c>
      <c r="E23" s="14">
        <v>990</v>
      </c>
      <c r="F23" s="14" t="s">
        <v>65</v>
      </c>
      <c r="G23" s="14">
        <v>998</v>
      </c>
      <c r="H23" s="14" t="s">
        <v>50</v>
      </c>
      <c r="I23" s="14">
        <v>983</v>
      </c>
      <c r="J23" s="14" t="s">
        <v>65</v>
      </c>
      <c r="K23" s="14">
        <v>985</v>
      </c>
      <c r="L23" s="14" t="s">
        <v>50</v>
      </c>
      <c r="M23" s="14">
        <v>997.4</v>
      </c>
      <c r="N23" s="14" t="s">
        <v>50</v>
      </c>
      <c r="O23" s="14">
        <v>995</v>
      </c>
      <c r="P23" s="14" t="s">
        <v>65</v>
      </c>
      <c r="Q23" s="14">
        <v>995</v>
      </c>
      <c r="R23" s="14" t="s">
        <v>7</v>
      </c>
      <c r="S23" s="14">
        <v>9961</v>
      </c>
      <c r="T23" s="14" t="s">
        <v>7</v>
      </c>
      <c r="U23" s="14">
        <v>9933</v>
      </c>
      <c r="V23" s="14" t="s">
        <v>7</v>
      </c>
      <c r="W23" s="14">
        <v>9940</v>
      </c>
      <c r="X23" s="14" t="s">
        <v>3</v>
      </c>
      <c r="Y23" s="14">
        <v>96.5</v>
      </c>
      <c r="Z23" s="14" t="s">
        <v>12</v>
      </c>
      <c r="AA23" s="14">
        <v>5.75</v>
      </c>
      <c r="AB23" s="14" t="s">
        <v>56</v>
      </c>
      <c r="AC23" s="14">
        <v>9.5</v>
      </c>
      <c r="AD23" s="14" t="s">
        <v>3</v>
      </c>
      <c r="AE23" s="14">
        <v>92.5</v>
      </c>
      <c r="AF23" s="14" t="s">
        <v>14</v>
      </c>
      <c r="AG23" s="14">
        <v>97.5</v>
      </c>
      <c r="AH23" s="14" t="s">
        <v>25</v>
      </c>
      <c r="AI23" s="14">
        <v>99.59</v>
      </c>
      <c r="AJ23" s="14" t="s">
        <v>25</v>
      </c>
      <c r="AK23" s="14">
        <v>99.57</v>
      </c>
    </row>
    <row r="24" spans="1:37" ht="15.75" customHeight="1" x14ac:dyDescent="0.15">
      <c r="A24" s="14" t="s">
        <v>110</v>
      </c>
      <c r="B24" s="14" t="s">
        <v>3</v>
      </c>
      <c r="C24" s="14">
        <v>91</v>
      </c>
      <c r="D24" s="14" t="s">
        <v>26</v>
      </c>
      <c r="E24" s="14">
        <v>921</v>
      </c>
      <c r="F24" s="14" t="s">
        <v>50</v>
      </c>
      <c r="G24" s="14">
        <v>995</v>
      </c>
      <c r="H24" s="14" t="s">
        <v>19</v>
      </c>
      <c r="I24" s="14">
        <v>90</v>
      </c>
      <c r="J24" s="14" t="s">
        <v>19</v>
      </c>
      <c r="K24" s="14">
        <v>95</v>
      </c>
      <c r="L24" s="14" t="s">
        <v>111</v>
      </c>
      <c r="M24" s="14">
        <v>987</v>
      </c>
      <c r="N24" s="14" t="s">
        <v>3</v>
      </c>
      <c r="O24" s="14">
        <v>950</v>
      </c>
      <c r="P24" s="14" t="s">
        <v>35</v>
      </c>
      <c r="Q24" s="14">
        <v>98</v>
      </c>
      <c r="R24" s="14" t="s">
        <v>7</v>
      </c>
      <c r="S24" s="14">
        <v>900</v>
      </c>
      <c r="T24" s="14" t="s">
        <v>7</v>
      </c>
      <c r="U24" s="14">
        <v>980</v>
      </c>
      <c r="V24" s="14" t="s">
        <v>50</v>
      </c>
      <c r="W24" s="14">
        <v>96</v>
      </c>
      <c r="X24" s="14" t="s">
        <v>7</v>
      </c>
      <c r="Y24" s="14">
        <v>9.6</v>
      </c>
      <c r="Z24" s="14" t="s">
        <v>7</v>
      </c>
      <c r="AA24" s="14">
        <v>9840.5</v>
      </c>
      <c r="AB24" s="14" t="s">
        <v>112</v>
      </c>
      <c r="AC24" s="14">
        <v>7.5</v>
      </c>
      <c r="AD24" s="14" t="s">
        <v>3</v>
      </c>
      <c r="AE24" s="14">
        <v>9.2200000000000006</v>
      </c>
      <c r="AF24" s="14" t="s">
        <v>46</v>
      </c>
      <c r="AG24" s="14">
        <v>873.7</v>
      </c>
      <c r="AH24" s="14" t="s">
        <v>25</v>
      </c>
      <c r="AI24" s="14">
        <v>98.1</v>
      </c>
      <c r="AJ24" s="14" t="s">
        <v>37</v>
      </c>
      <c r="AK24" s="14">
        <v>83.5</v>
      </c>
    </row>
    <row r="25" spans="1:37" ht="15.75" customHeight="1" x14ac:dyDescent="0.15">
      <c r="A25" s="14" t="s">
        <v>113</v>
      </c>
      <c r="B25" s="14" t="s">
        <v>114</v>
      </c>
      <c r="C25" s="14">
        <v>993</v>
      </c>
      <c r="D25" s="14" t="s">
        <v>114</v>
      </c>
      <c r="E25" s="14">
        <v>993</v>
      </c>
      <c r="F25" s="14" t="s">
        <v>114</v>
      </c>
      <c r="G25" s="14">
        <v>993</v>
      </c>
      <c r="H25" s="14" t="s">
        <v>7</v>
      </c>
      <c r="I25" s="14">
        <v>999.26</v>
      </c>
      <c r="J25" s="14" t="s">
        <v>7</v>
      </c>
      <c r="K25" s="14">
        <v>995</v>
      </c>
      <c r="L25" s="14" t="s">
        <v>107</v>
      </c>
      <c r="M25" s="14">
        <v>998</v>
      </c>
      <c r="N25" s="14" t="s">
        <v>7</v>
      </c>
      <c r="O25" s="14">
        <v>995</v>
      </c>
      <c r="P25" s="14" t="s">
        <v>7</v>
      </c>
      <c r="Q25" s="14">
        <v>998</v>
      </c>
      <c r="R25" s="14" t="s">
        <v>115</v>
      </c>
      <c r="S25" s="14">
        <v>985</v>
      </c>
      <c r="T25" s="14" t="s">
        <v>19</v>
      </c>
      <c r="U25" s="14">
        <v>990</v>
      </c>
      <c r="V25" s="14" t="s">
        <v>19</v>
      </c>
      <c r="W25" s="14">
        <v>995</v>
      </c>
      <c r="X25" s="14" t="s">
        <v>46</v>
      </c>
      <c r="Y25" s="14">
        <v>991.92</v>
      </c>
      <c r="Z25" s="14" t="s">
        <v>116</v>
      </c>
      <c r="AA25" s="14">
        <v>986.14</v>
      </c>
      <c r="AB25" s="14" t="s">
        <v>7</v>
      </c>
      <c r="AC25" s="14">
        <v>97.5</v>
      </c>
      <c r="AD25" s="14" t="s">
        <v>19</v>
      </c>
      <c r="AE25" s="14">
        <v>976.5</v>
      </c>
      <c r="AF25" s="14" t="s">
        <v>56</v>
      </c>
      <c r="AG25" s="14">
        <v>996.67</v>
      </c>
      <c r="AH25" s="14" t="s">
        <v>7</v>
      </c>
      <c r="AI25" s="14">
        <v>96.5</v>
      </c>
      <c r="AJ25" s="14" t="s">
        <v>89</v>
      </c>
      <c r="AK25" s="14">
        <v>9.5</v>
      </c>
    </row>
    <row r="26" spans="1:37" ht="15.75" customHeight="1" x14ac:dyDescent="0.15">
      <c r="A26" s="14" t="s">
        <v>117</v>
      </c>
      <c r="B26" s="14" t="s">
        <v>17</v>
      </c>
      <c r="C26" s="14">
        <v>995</v>
      </c>
      <c r="D26" s="14" t="s">
        <v>57</v>
      </c>
      <c r="E26" s="14">
        <v>995</v>
      </c>
      <c r="F26" s="14" t="s">
        <v>26</v>
      </c>
      <c r="G26" s="14">
        <v>996</v>
      </c>
      <c r="H26" s="14" t="s">
        <v>25</v>
      </c>
      <c r="I26" s="14">
        <v>985</v>
      </c>
      <c r="J26" s="14" t="s">
        <v>3</v>
      </c>
      <c r="K26" s="14">
        <v>98</v>
      </c>
      <c r="L26" s="14" t="s">
        <v>7</v>
      </c>
      <c r="M26" s="14">
        <v>9962</v>
      </c>
      <c r="N26" s="14" t="s">
        <v>14</v>
      </c>
      <c r="O26" s="14">
        <v>993</v>
      </c>
      <c r="P26" s="14" t="s">
        <v>25</v>
      </c>
      <c r="Q26" s="14">
        <v>990.6</v>
      </c>
      <c r="R26" s="14" t="s">
        <v>26</v>
      </c>
      <c r="S26" s="14">
        <v>99</v>
      </c>
      <c r="T26" s="14" t="s">
        <v>3</v>
      </c>
      <c r="U26" s="14">
        <v>99</v>
      </c>
      <c r="V26" s="14" t="s">
        <v>10</v>
      </c>
      <c r="W26" s="14">
        <v>996</v>
      </c>
      <c r="X26" s="14" t="s">
        <v>3</v>
      </c>
      <c r="Y26" s="14">
        <v>993.6</v>
      </c>
      <c r="Z26" s="14" t="s">
        <v>93</v>
      </c>
      <c r="AA26" s="14">
        <v>96.7</v>
      </c>
      <c r="AB26" s="14" t="s">
        <v>27</v>
      </c>
      <c r="AC26" s="14">
        <v>99.78</v>
      </c>
      <c r="AD26" s="14" t="s">
        <v>44</v>
      </c>
      <c r="AE26" s="14">
        <v>982.8</v>
      </c>
      <c r="AF26" s="14" t="s">
        <v>14</v>
      </c>
      <c r="AG26" s="14">
        <v>98.5</v>
      </c>
      <c r="AH26" s="14" t="s">
        <v>7</v>
      </c>
      <c r="AI26" s="14">
        <v>999.4</v>
      </c>
      <c r="AJ26" s="14" t="s">
        <v>65</v>
      </c>
      <c r="AK26" s="14">
        <v>991.76</v>
      </c>
    </row>
    <row r="27" spans="1:37" ht="15.75" customHeight="1" x14ac:dyDescent="0.15">
      <c r="A27" s="14" t="s">
        <v>118</v>
      </c>
      <c r="B27" s="14" t="s">
        <v>4</v>
      </c>
      <c r="C27" s="14">
        <v>990</v>
      </c>
      <c r="D27" s="14" t="s">
        <v>88</v>
      </c>
      <c r="E27" s="14">
        <v>996</v>
      </c>
      <c r="F27" s="14" t="s">
        <v>57</v>
      </c>
      <c r="G27" s="14">
        <v>984</v>
      </c>
      <c r="H27" s="14" t="s">
        <v>88</v>
      </c>
      <c r="I27" s="14">
        <v>996</v>
      </c>
      <c r="J27" s="14" t="s">
        <v>21</v>
      </c>
      <c r="K27" s="14">
        <v>997</v>
      </c>
      <c r="L27" s="14" t="s">
        <v>40</v>
      </c>
      <c r="M27" s="14">
        <v>99</v>
      </c>
      <c r="N27" s="14" t="s">
        <v>21</v>
      </c>
      <c r="O27" s="14">
        <v>996</v>
      </c>
      <c r="P27" s="14" t="s">
        <v>57</v>
      </c>
      <c r="Q27" s="14">
        <v>9978</v>
      </c>
      <c r="R27" s="14" t="s">
        <v>7</v>
      </c>
      <c r="S27" s="14">
        <v>980</v>
      </c>
      <c r="T27" s="14" t="s">
        <v>88</v>
      </c>
      <c r="U27" s="14">
        <v>990</v>
      </c>
      <c r="V27" s="14" t="s">
        <v>93</v>
      </c>
      <c r="W27" s="14">
        <v>997</v>
      </c>
      <c r="X27" s="14" t="s">
        <v>7</v>
      </c>
      <c r="Y27" s="14">
        <v>964.5</v>
      </c>
      <c r="Z27" s="14" t="s">
        <v>4</v>
      </c>
      <c r="AA27" s="14">
        <v>99.7</v>
      </c>
      <c r="AB27" s="14" t="s">
        <v>10</v>
      </c>
      <c r="AC27" s="14">
        <v>99.5</v>
      </c>
      <c r="AD27" s="14" t="s">
        <v>21</v>
      </c>
      <c r="AE27" s="14">
        <v>99.5</v>
      </c>
      <c r="AF27" s="14" t="s">
        <v>21</v>
      </c>
      <c r="AG27" s="14">
        <v>998.5</v>
      </c>
      <c r="AH27" s="14" t="s">
        <v>89</v>
      </c>
      <c r="AI27" s="14">
        <v>98.5</v>
      </c>
      <c r="AJ27" s="14" t="s">
        <v>57</v>
      </c>
      <c r="AK27" s="14">
        <v>7040.28</v>
      </c>
    </row>
    <row r="28" spans="1:37" ht="15.75" customHeight="1" x14ac:dyDescent="0.15">
      <c r="A28" s="14" t="s">
        <v>119</v>
      </c>
      <c r="B28" s="14" t="s">
        <v>50</v>
      </c>
      <c r="C28" s="14">
        <v>972</v>
      </c>
      <c r="D28" s="14" t="s">
        <v>19</v>
      </c>
      <c r="E28" s="14">
        <v>97.49</v>
      </c>
      <c r="F28" s="14" t="s">
        <v>29</v>
      </c>
      <c r="G28" s="14">
        <v>98</v>
      </c>
      <c r="H28" s="14" t="s">
        <v>34</v>
      </c>
      <c r="I28" s="14">
        <v>971</v>
      </c>
      <c r="J28" s="14" t="s">
        <v>34</v>
      </c>
      <c r="K28" s="14">
        <v>951</v>
      </c>
      <c r="L28" s="14" t="s">
        <v>19</v>
      </c>
      <c r="M28" s="14">
        <v>97.34</v>
      </c>
      <c r="N28" s="14" t="s">
        <v>50</v>
      </c>
      <c r="O28" s="14">
        <v>950</v>
      </c>
      <c r="P28" s="14" t="s">
        <v>19</v>
      </c>
      <c r="Q28" s="14">
        <v>97.34</v>
      </c>
      <c r="R28" s="14" t="s">
        <v>37</v>
      </c>
      <c r="S28" s="14">
        <v>96</v>
      </c>
      <c r="T28" s="14" t="s">
        <v>7</v>
      </c>
      <c r="U28" s="14">
        <v>9</v>
      </c>
      <c r="V28" s="14" t="s">
        <v>7</v>
      </c>
      <c r="W28" s="14">
        <v>970</v>
      </c>
      <c r="X28" s="14" t="s">
        <v>19</v>
      </c>
      <c r="Y28" s="14">
        <v>97.5</v>
      </c>
      <c r="Z28" s="14" t="s">
        <v>19</v>
      </c>
      <c r="AA28" s="14">
        <v>97.5</v>
      </c>
      <c r="AB28" s="14" t="s">
        <v>19</v>
      </c>
      <c r="AC28" s="14">
        <v>97.5</v>
      </c>
      <c r="AD28" s="14" t="s">
        <v>19</v>
      </c>
      <c r="AE28" s="14">
        <v>97.5</v>
      </c>
      <c r="AF28" s="14" t="s">
        <v>19</v>
      </c>
      <c r="AG28" s="14">
        <v>97.5</v>
      </c>
      <c r="AH28" s="14" t="s">
        <v>19</v>
      </c>
      <c r="AI28" s="14">
        <v>97.5</v>
      </c>
      <c r="AJ28" s="14" t="s">
        <v>19</v>
      </c>
      <c r="AK28" s="14">
        <v>97.5</v>
      </c>
    </row>
    <row r="29" spans="1:37" ht="15.75" customHeight="1" x14ac:dyDescent="0.15">
      <c r="A29" s="14" t="s">
        <v>120</v>
      </c>
      <c r="B29" s="14" t="s">
        <v>25</v>
      </c>
      <c r="C29" s="14">
        <v>980524</v>
      </c>
      <c r="D29" s="14" t="s">
        <v>25</v>
      </c>
      <c r="E29" s="14">
        <v>9837</v>
      </c>
      <c r="F29" s="14" t="s">
        <v>121</v>
      </c>
      <c r="G29" s="14">
        <v>98</v>
      </c>
      <c r="H29" s="14" t="s">
        <v>7</v>
      </c>
      <c r="I29" s="14">
        <v>9995</v>
      </c>
      <c r="J29" s="14" t="s">
        <v>19</v>
      </c>
      <c r="K29" s="14">
        <v>9802</v>
      </c>
      <c r="L29" s="14" t="s">
        <v>7</v>
      </c>
      <c r="M29" s="14">
        <v>9914</v>
      </c>
      <c r="N29" s="14" t="s">
        <v>19</v>
      </c>
      <c r="O29" s="14">
        <v>9802</v>
      </c>
      <c r="P29" s="14" t="s">
        <v>7</v>
      </c>
      <c r="Q29" s="14">
        <v>9950</v>
      </c>
      <c r="R29" s="14" t="s">
        <v>35</v>
      </c>
      <c r="S29" s="14">
        <v>994.09</v>
      </c>
      <c r="T29" s="14" t="s">
        <v>7</v>
      </c>
      <c r="U29" s="14">
        <v>985</v>
      </c>
      <c r="V29" s="14" t="s">
        <v>35</v>
      </c>
      <c r="W29" s="14">
        <v>990</v>
      </c>
      <c r="X29" s="14" t="s">
        <v>7</v>
      </c>
      <c r="Y29" s="14">
        <v>99.14</v>
      </c>
      <c r="Z29" s="14" t="s">
        <v>35</v>
      </c>
      <c r="AA29" s="14">
        <v>997.12</v>
      </c>
      <c r="AB29" s="14" t="s">
        <v>7</v>
      </c>
      <c r="AC29" s="14">
        <v>9869.2999999999993</v>
      </c>
      <c r="AD29" s="14" t="s">
        <v>7</v>
      </c>
      <c r="AE29" s="14">
        <v>997.5</v>
      </c>
      <c r="AF29" s="14" t="s">
        <v>7</v>
      </c>
      <c r="AG29" s="14">
        <v>9916.42</v>
      </c>
      <c r="AH29" s="14" t="s">
        <v>7</v>
      </c>
      <c r="AI29" s="14">
        <v>9684.2999999999993</v>
      </c>
      <c r="AJ29" s="14" t="s">
        <v>37</v>
      </c>
      <c r="AK29" s="14">
        <v>978.45</v>
      </c>
    </row>
    <row r="30" spans="1:37" ht="15.75" customHeight="1" x14ac:dyDescent="0.15">
      <c r="A30" s="14" t="s">
        <v>122</v>
      </c>
      <c r="B30" s="14" t="s">
        <v>7</v>
      </c>
      <c r="C30" s="14">
        <v>985</v>
      </c>
      <c r="D30" s="14" t="s">
        <v>7</v>
      </c>
      <c r="E30" s="14">
        <v>985</v>
      </c>
      <c r="F30" s="14" t="s">
        <v>7</v>
      </c>
      <c r="G30" s="14">
        <v>985</v>
      </c>
      <c r="H30" s="14" t="s">
        <v>7</v>
      </c>
      <c r="I30" s="14">
        <v>998</v>
      </c>
      <c r="J30" s="14" t="s">
        <v>7</v>
      </c>
      <c r="K30" s="14">
        <v>985</v>
      </c>
      <c r="L30" s="14" t="s">
        <v>7</v>
      </c>
      <c r="M30" s="14">
        <v>985</v>
      </c>
      <c r="N30" s="14" t="s">
        <v>57</v>
      </c>
      <c r="O30" s="14">
        <v>993</v>
      </c>
      <c r="P30" s="14" t="s">
        <v>7</v>
      </c>
      <c r="Q30" s="14">
        <v>985</v>
      </c>
      <c r="R30" s="14" t="s">
        <v>7</v>
      </c>
      <c r="S30" s="14">
        <v>985</v>
      </c>
      <c r="T30" s="14" t="s">
        <v>57</v>
      </c>
      <c r="U30" s="14">
        <v>990</v>
      </c>
      <c r="V30" s="14" t="s">
        <v>5</v>
      </c>
      <c r="W30" s="14">
        <v>993</v>
      </c>
      <c r="X30" s="14" t="s">
        <v>7</v>
      </c>
      <c r="Y30" s="14">
        <v>99.23</v>
      </c>
      <c r="Z30" s="14" t="s">
        <v>7</v>
      </c>
      <c r="AA30" s="14">
        <v>934.39</v>
      </c>
      <c r="AB30" s="14" t="s">
        <v>5</v>
      </c>
      <c r="AC30" s="14">
        <v>13.5</v>
      </c>
      <c r="AD30" s="14" t="s">
        <v>7</v>
      </c>
      <c r="AE30" s="14">
        <v>14310</v>
      </c>
      <c r="AF30" s="14" t="s">
        <v>5</v>
      </c>
      <c r="AG30" s="14">
        <v>94.5</v>
      </c>
      <c r="AH30" s="14" t="s">
        <v>123</v>
      </c>
      <c r="AI30" s="14">
        <v>5.5</v>
      </c>
      <c r="AJ30" s="14" t="s">
        <v>14</v>
      </c>
      <c r="AK30" s="14">
        <v>4.5</v>
      </c>
    </row>
    <row r="31" spans="1:37" ht="15.75" customHeight="1" x14ac:dyDescent="0.15">
      <c r="A31" s="14" t="s">
        <v>124</v>
      </c>
      <c r="B31" s="14" t="s">
        <v>97</v>
      </c>
      <c r="C31" s="14">
        <v>994.71</v>
      </c>
      <c r="D31" s="14" t="s">
        <v>7</v>
      </c>
      <c r="E31" s="14">
        <v>998</v>
      </c>
      <c r="F31" s="14" t="s">
        <v>50</v>
      </c>
      <c r="G31" s="14">
        <v>995</v>
      </c>
      <c r="H31" s="14" t="s">
        <v>49</v>
      </c>
      <c r="I31" s="14">
        <v>994</v>
      </c>
      <c r="J31" s="14" t="s">
        <v>49</v>
      </c>
      <c r="K31" s="14">
        <v>995</v>
      </c>
      <c r="L31" s="14" t="s">
        <v>49</v>
      </c>
      <c r="M31" s="14">
        <v>995</v>
      </c>
      <c r="N31" s="14" t="s">
        <v>49</v>
      </c>
      <c r="O31" s="14">
        <v>995</v>
      </c>
      <c r="P31" s="14" t="s">
        <v>35</v>
      </c>
      <c r="Q31" s="14">
        <v>9962</v>
      </c>
      <c r="R31" s="14" t="s">
        <v>19</v>
      </c>
      <c r="S31" s="14">
        <v>998</v>
      </c>
      <c r="T31" s="14" t="s">
        <v>7</v>
      </c>
      <c r="U31" s="14">
        <v>990</v>
      </c>
      <c r="V31" s="14" t="s">
        <v>50</v>
      </c>
      <c r="W31" s="14">
        <v>99</v>
      </c>
      <c r="X31" s="14" t="s">
        <v>19</v>
      </c>
      <c r="Y31" s="14">
        <v>957.5</v>
      </c>
      <c r="Z31" s="14" t="s">
        <v>19</v>
      </c>
      <c r="AA31" s="14">
        <v>957.5</v>
      </c>
      <c r="AB31" s="14" t="s">
        <v>19</v>
      </c>
      <c r="AC31" s="14">
        <v>957.5</v>
      </c>
      <c r="AD31" s="14" t="s">
        <v>46</v>
      </c>
      <c r="AE31" s="14">
        <v>949.41</v>
      </c>
      <c r="AF31" s="14" t="s">
        <v>84</v>
      </c>
      <c r="AG31" s="14">
        <v>99.5</v>
      </c>
      <c r="AH31" s="14" t="s">
        <v>7</v>
      </c>
      <c r="AI31" s="14">
        <v>99.5</v>
      </c>
      <c r="AJ31" s="14" t="s">
        <v>49</v>
      </c>
      <c r="AK31" s="14">
        <v>975.55</v>
      </c>
    </row>
    <row r="32" spans="1:37" ht="15.75" customHeight="1" x14ac:dyDescent="0.15">
      <c r="A32" s="14" t="s">
        <v>125</v>
      </c>
      <c r="B32" s="14" t="s">
        <v>19</v>
      </c>
      <c r="C32" s="14">
        <v>98</v>
      </c>
      <c r="D32" s="14" t="s">
        <v>10</v>
      </c>
      <c r="E32" s="14">
        <v>99</v>
      </c>
      <c r="F32" s="14" t="s">
        <v>10</v>
      </c>
      <c r="G32" s="14">
        <v>95</v>
      </c>
      <c r="H32" s="14" t="s">
        <v>10</v>
      </c>
      <c r="I32" s="14">
        <v>990</v>
      </c>
      <c r="J32" s="14" t="s">
        <v>7</v>
      </c>
      <c r="K32" s="14">
        <v>99</v>
      </c>
      <c r="L32" s="14" t="s">
        <v>10</v>
      </c>
      <c r="M32" s="14">
        <v>979</v>
      </c>
      <c r="N32" s="14" t="s">
        <v>126</v>
      </c>
      <c r="O32" s="14">
        <v>993.11</v>
      </c>
      <c r="P32" s="14" t="s">
        <v>7</v>
      </c>
      <c r="Q32" s="14">
        <v>9970</v>
      </c>
      <c r="R32" s="14" t="s">
        <v>7</v>
      </c>
      <c r="S32" s="14">
        <v>995</v>
      </c>
      <c r="T32" s="14" t="s">
        <v>10</v>
      </c>
      <c r="U32" s="14">
        <v>999.18</v>
      </c>
      <c r="V32" s="14" t="s">
        <v>7</v>
      </c>
      <c r="W32" s="14">
        <v>99.69</v>
      </c>
      <c r="X32" s="14" t="s">
        <v>7</v>
      </c>
      <c r="Y32" s="14">
        <v>989.8</v>
      </c>
      <c r="Z32" s="14" t="s">
        <v>10</v>
      </c>
      <c r="AA32" s="14">
        <v>99.6</v>
      </c>
      <c r="AB32" s="14" t="s">
        <v>10</v>
      </c>
      <c r="AC32" s="14">
        <v>98.01</v>
      </c>
      <c r="AD32" s="14" t="s">
        <v>26</v>
      </c>
      <c r="AE32" s="14">
        <v>99.53</v>
      </c>
      <c r="AF32" s="14" t="s">
        <v>7</v>
      </c>
      <c r="AG32" s="14">
        <v>976.5</v>
      </c>
      <c r="AH32" s="14" t="s">
        <v>37</v>
      </c>
      <c r="AI32" s="14">
        <v>969.8</v>
      </c>
      <c r="AJ32" s="14" t="s">
        <v>7</v>
      </c>
      <c r="AK32" s="14">
        <v>912.71</v>
      </c>
    </row>
    <row r="33" spans="1:37" ht="15.75" customHeight="1" x14ac:dyDescent="0.15">
      <c r="A33" s="14" t="s">
        <v>127</v>
      </c>
      <c r="B33" s="14" t="s">
        <v>56</v>
      </c>
      <c r="C33" s="14">
        <v>996</v>
      </c>
      <c r="D33" s="14" t="s">
        <v>50</v>
      </c>
      <c r="E33" s="14">
        <v>99</v>
      </c>
      <c r="F33" s="14" t="s">
        <v>4</v>
      </c>
      <c r="G33" s="14">
        <v>99</v>
      </c>
      <c r="H33" s="14" t="s">
        <v>77</v>
      </c>
      <c r="I33" s="14">
        <v>99.24</v>
      </c>
      <c r="J33" s="14" t="s">
        <v>50</v>
      </c>
      <c r="K33" s="14">
        <v>995.13</v>
      </c>
      <c r="L33" s="14" t="s">
        <v>7</v>
      </c>
      <c r="M33" s="14">
        <v>986</v>
      </c>
      <c r="N33" s="14" t="s">
        <v>50</v>
      </c>
      <c r="O33" s="14">
        <v>990</v>
      </c>
      <c r="P33" s="14" t="s">
        <v>7</v>
      </c>
      <c r="Q33" s="14">
        <v>950</v>
      </c>
      <c r="R33" s="14" t="s">
        <v>14</v>
      </c>
      <c r="S33" s="14">
        <v>990</v>
      </c>
      <c r="T33" s="14" t="s">
        <v>56</v>
      </c>
      <c r="U33" s="14">
        <v>980</v>
      </c>
      <c r="V33" s="14" t="s">
        <v>57</v>
      </c>
      <c r="W33" s="14">
        <v>999</v>
      </c>
      <c r="X33" s="14" t="s">
        <v>128</v>
      </c>
      <c r="Y33" s="14">
        <v>991.5</v>
      </c>
      <c r="Z33" s="14" t="s">
        <v>50</v>
      </c>
      <c r="AA33" s="14">
        <v>96389.52</v>
      </c>
      <c r="AB33" s="14" t="s">
        <v>129</v>
      </c>
      <c r="AC33" s="14">
        <v>96.5</v>
      </c>
      <c r="AD33" s="14" t="s">
        <v>12</v>
      </c>
      <c r="AE33" s="14">
        <v>99.5</v>
      </c>
      <c r="AF33" s="14" t="s">
        <v>129</v>
      </c>
      <c r="AG33" s="14">
        <v>96.5</v>
      </c>
      <c r="AH33" s="14" t="s">
        <v>129</v>
      </c>
      <c r="AI33" s="14">
        <v>96.5</v>
      </c>
      <c r="AJ33" s="14" t="s">
        <v>99</v>
      </c>
      <c r="AK33" s="14">
        <v>999.65</v>
      </c>
    </row>
    <row r="34" spans="1:37" ht="15.75" customHeight="1" x14ac:dyDescent="0.15">
      <c r="C34" s="4"/>
      <c r="D34" s="4"/>
    </row>
    <row r="35" spans="1:37" ht="15.75" customHeight="1" x14ac:dyDescent="0.15">
      <c r="C35" s="8"/>
      <c r="D35" s="8"/>
    </row>
    <row r="36" spans="1:37" ht="15.75" customHeight="1" x14ac:dyDescent="0.15">
      <c r="B36" s="4"/>
    </row>
    <row r="37" spans="1:37" ht="15.75" customHeight="1" x14ac:dyDescent="0.15">
      <c r="A37" s="12"/>
      <c r="B37" s="12"/>
      <c r="C37" s="4"/>
      <c r="D37" s="4"/>
    </row>
    <row r="38" spans="1:37" ht="15.75" customHeight="1" x14ac:dyDescent="0.15">
      <c r="A38" s="12"/>
      <c r="B38" s="12"/>
    </row>
    <row r="39" spans="1:37" ht="15.75" customHeight="1" x14ac:dyDescent="0.15">
      <c r="B39" s="4"/>
      <c r="C39" s="5"/>
      <c r="D39" s="5"/>
    </row>
    <row r="59" spans="9:9" ht="15.75" customHeight="1" x14ac:dyDescent="0.15">
      <c r="I59" t="s">
        <v>747</v>
      </c>
    </row>
  </sheetData>
  <mergeCells count="1">
    <mergeCell ref="A37:B38"/>
  </mergeCells>
  <pageMargins left="0" right="0" top="0" bottom="0" header="0" footer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MM Lluvia</vt:lpstr>
      <vt:lpstr>producción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Microsoft Office User</cp:lastModifiedBy>
  <cp:revision/>
  <dcterms:created xsi:type="dcterms:W3CDTF">2023-03-31T21:39:39Z</dcterms:created>
  <dcterms:modified xsi:type="dcterms:W3CDTF">2023-04-17T21:10:23Z</dcterms:modified>
  <cp:category/>
  <cp:contentStatus/>
</cp:coreProperties>
</file>